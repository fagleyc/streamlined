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chartsheets/sheet1.xml" ContentType="application/vnd.openxmlformats-officedocument.spreadsheetml.chartsheet+xml"/>
  <Override PartName="/xl/chartsheets/sheet2.xml" ContentType="application/vnd.openxmlformats-officedocument.spreadsheetml.chartsheet+xml"/>
  <Override PartName="/xl/chartsheets/sheet3.xml" ContentType="application/vnd.openxmlformats-officedocument.spreadsheetml.chartsheet+xml"/>
  <Override PartName="/xl/chartsheets/sheet4.xml" ContentType="application/vnd.openxmlformats-officedocument.spreadsheetml.chartsheet+xml"/>
  <Override PartName="/xl/chartsheets/sheet5.xml" ContentType="application/vnd.openxmlformats-officedocument.spreadsheetml.chartsheet+xml"/>
  <Override PartName="/xl/chartsheets/sheet6.xml" ContentType="application/vnd.openxmlformats-officedocument.spreadsheetml.chartsheet+xml"/>
  <Override PartName="/xl/chartsheets/sheet7.xml" ContentType="application/vnd.openxmlformats-officedocument.spreadsheetml.chartsheet+xml"/>
  <Override PartName="/xl/chartsheets/sheet8.xml" ContentType="application/vnd.openxmlformats-officedocument.spreadsheetml.chartsheet+xml"/>
  <Override PartName="/xl/chartsheets/sheet9.xml" ContentType="application/vnd.openxmlformats-officedocument.spreadsheetml.chartsheet+xml"/>
  <Override PartName="/xl/chartsheets/sheet10.xml" ContentType="application/vnd.openxmlformats-officedocument.spreadsheetml.chartsheet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drawings/drawing2.xml" ContentType="application/vnd.openxmlformats-officedocument.drawingml.chartshapes+xml"/>
  <Override PartName="/xl/drawings/drawing3.xml" ContentType="application/vnd.openxmlformats-officedocument.drawing+xml"/>
  <Override PartName="/xl/charts/chart2.xml" ContentType="application/vnd.openxmlformats-officedocument.drawingml.chart+xml"/>
  <Override PartName="/xl/drawings/drawing4.xml" ContentType="application/vnd.openxmlformats-officedocument.drawingml.chartshapes+xml"/>
  <Override PartName="/xl/drawings/drawing5.xml" ContentType="application/vnd.openxmlformats-officedocument.drawing+xml"/>
  <Override PartName="/xl/charts/chart3.xml" ContentType="application/vnd.openxmlformats-officedocument.drawingml.chart+xml"/>
  <Override PartName="/xl/drawings/drawing6.xml" ContentType="application/vnd.openxmlformats-officedocument.drawingml.chartshapes+xml"/>
  <Override PartName="/xl/drawings/drawing7.xml" ContentType="application/vnd.openxmlformats-officedocument.drawing+xml"/>
  <Override PartName="/xl/charts/chart4.xml" ContentType="application/vnd.openxmlformats-officedocument.drawingml.chart+xml"/>
  <Override PartName="/xl/drawings/drawing8.xml" ContentType="application/vnd.openxmlformats-officedocument.drawingml.chartshapes+xml"/>
  <Override PartName="/xl/drawings/drawing9.xml" ContentType="application/vnd.openxmlformats-officedocument.drawing+xml"/>
  <Override PartName="/xl/charts/chart5.xml" ContentType="application/vnd.openxmlformats-officedocument.drawingml.chart+xml"/>
  <Override PartName="/xl/drawings/drawing10.xml" ContentType="application/vnd.openxmlformats-officedocument.drawingml.chartshapes+xml"/>
  <Override PartName="/xl/drawings/drawing11.xml" ContentType="application/vnd.openxmlformats-officedocument.drawing+xml"/>
  <Override PartName="/xl/charts/chart6.xml" ContentType="application/vnd.openxmlformats-officedocument.drawingml.chart+xml"/>
  <Override PartName="/xl/drawings/drawing12.xml" ContentType="application/vnd.openxmlformats-officedocument.drawingml.chartshapes+xml"/>
  <Override PartName="/xl/drawings/drawing13.xml" ContentType="application/vnd.openxmlformats-officedocument.drawing+xml"/>
  <Override PartName="/xl/charts/chart7.xml" ContentType="application/vnd.openxmlformats-officedocument.drawingml.chart+xml"/>
  <Override PartName="/xl/drawings/drawing14.xml" ContentType="application/vnd.openxmlformats-officedocument.drawingml.chartshapes+xml"/>
  <Override PartName="/xl/drawings/drawing15.xml" ContentType="application/vnd.openxmlformats-officedocument.drawing+xml"/>
  <Override PartName="/xl/charts/chart8.xml" ContentType="application/vnd.openxmlformats-officedocument.drawingml.chart+xml"/>
  <Override PartName="/xl/drawings/drawing16.xml" ContentType="application/vnd.openxmlformats-officedocument.drawingml.chartshapes+xml"/>
  <Override PartName="/xl/drawings/drawing17.xml" ContentType="application/vnd.openxmlformats-officedocument.drawing+xml"/>
  <Override PartName="/xl/charts/chart9.xml" ContentType="application/vnd.openxmlformats-officedocument.drawingml.chart+xml"/>
  <Override PartName="/xl/drawings/drawing18.xml" ContentType="application/vnd.openxmlformats-officedocument.drawingml.chartshapes+xml"/>
  <Override PartName="/xl/drawings/drawing19.xml" ContentType="application/vnd.openxmlformats-officedocument.drawing+xml"/>
  <Override PartName="/xl/charts/chart10.xml" ContentType="application/vnd.openxmlformats-officedocument.drawingml.chart+xml"/>
  <Override PartName="/xl/drawings/drawing20.xml" ContentType="application/vnd.openxmlformats-officedocument.drawingml.chartshapes+xml"/>
  <Override PartName="/xl/drawings/drawing2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activeX/activeX6.bin" ContentType="application/vnd.ms-office.activeX"/>
  <Override PartName="/xl/activeX/activeX7.xml" ContentType="application/vnd.ms-office.activeX+xml"/>
  <Override PartName="/xl/activeX/activeX7.bin" ContentType="application/vnd.ms-office.activeX"/>
  <Override PartName="/xl/activeX/activeX8.xml" ContentType="application/vnd.ms-office.activeX+xml"/>
  <Override PartName="/xl/activeX/activeX8.bin" ContentType="application/vnd.ms-office.activeX"/>
  <Override PartName="/xl/activeX/activeX9.xml" ContentType="application/vnd.ms-office.activeX+xml"/>
  <Override PartName="/xl/activeX/activeX9.bin" ContentType="application/vnd.ms-office.activeX"/>
  <Override PartName="/xl/activeX/activeX10.xml" ContentType="application/vnd.ms-office.activeX+xml"/>
  <Override PartName="/xl/activeX/activeX10.bin" ContentType="application/vnd.ms-office.activeX"/>
  <Override PartName="/xl/activeX/activeX11.xml" ContentType="application/vnd.ms-office.activeX+xml"/>
  <Override PartName="/xl/activeX/activeX11.bin" ContentType="application/vnd.ms-office.activeX"/>
  <Override PartName="/xl/activeX/activeX12.xml" ContentType="application/vnd.ms-office.activeX+xml"/>
  <Override PartName="/xl/activeX/activeX12.bin" ContentType="application/vnd.ms-office.activeX"/>
  <Override PartName="/xl/activeX/activeX13.xml" ContentType="application/vnd.ms-office.activeX+xml"/>
  <Override PartName="/xl/activeX/activeX13.bin" ContentType="application/vnd.ms-office.activeX"/>
  <Override PartName="/xl/activeX/activeX14.xml" ContentType="application/vnd.ms-office.activeX+xml"/>
  <Override PartName="/xl/activeX/activeX14.bin" ContentType="application/vnd.ms-office.activeX"/>
  <Override PartName="/xl/activeX/activeX15.xml" ContentType="application/vnd.ms-office.activeX+xml"/>
  <Override PartName="/xl/activeX/activeX15.bin" ContentType="application/vnd.ms-office.activeX"/>
  <Override PartName="/xl/activeX/activeX16.xml" ContentType="application/vnd.ms-office.activeX+xml"/>
  <Override PartName="/xl/activeX/activeX16.bin" ContentType="application/vnd.ms-office.activeX"/>
  <Override PartName="/xl/activeX/activeX17.xml" ContentType="application/vnd.ms-office.activeX+xml"/>
  <Override PartName="/xl/activeX/activeX17.bin" ContentType="application/vnd.ms-office.activeX"/>
  <Override PartName="/xl/activeX/activeX18.xml" ContentType="application/vnd.ms-office.activeX+xml"/>
  <Override PartName="/xl/activeX/activeX18.bin" ContentType="application/vnd.ms-office.activeX"/>
  <Override PartName="/xl/activeX/activeX19.xml" ContentType="application/vnd.ms-office.activeX+xml"/>
  <Override PartName="/xl/activeX/activeX19.bin" ContentType="application/vnd.ms-office.activeX"/>
  <Override PartName="/xl/activeX/activeX20.xml" ContentType="application/vnd.ms-office.activeX+xml"/>
  <Override PartName="/xl/activeX/activeX20.bin" ContentType="application/vnd.ms-office.activeX"/>
  <Override PartName="/xl/activeX/activeX21.xml" ContentType="application/vnd.ms-office.activeX+xml"/>
  <Override PartName="/xl/activeX/activeX21.bin" ContentType="application/vnd.ms-office.activeX"/>
  <Override PartName="/xl/activeX/activeX22.xml" ContentType="application/vnd.ms-office.activeX+xml"/>
  <Override PartName="/xl/activeX/activeX22.bin" ContentType="application/vnd.ms-office.activeX"/>
  <Override PartName="/xl/activeX/activeX23.xml" ContentType="application/vnd.ms-office.activeX+xml"/>
  <Override PartName="/xl/activeX/activeX23.bin" ContentType="application/vnd.ms-office.activeX"/>
  <Override PartName="/xl/activeX/activeX24.xml" ContentType="application/vnd.ms-office.activeX+xml"/>
  <Override PartName="/xl/activeX/activeX24.bin" ContentType="application/vnd.ms-office.activeX"/>
  <Override PartName="/xl/activeX/activeX25.xml" ContentType="application/vnd.ms-office.activeX+xml"/>
  <Override PartName="/xl/activeX/activeX25.bin" ContentType="application/vnd.ms-office.activeX"/>
  <Override PartName="/xl/activeX/activeX26.xml" ContentType="application/vnd.ms-office.activeX+xml"/>
  <Override PartName="/xl/activeX/activeX26.bin" ContentType="application/vnd.ms-office.activeX"/>
  <Override PartName="/xl/activeX/activeX27.xml" ContentType="application/vnd.ms-office.activeX+xml"/>
  <Override PartName="/xl/activeX/activeX27.bin" ContentType="application/vnd.ms-office.activeX"/>
  <Override PartName="/xl/activeX/activeX28.xml" ContentType="application/vnd.ms-office.activeX+xml"/>
  <Override PartName="/xl/activeX/activeX28.bin" ContentType="application/vnd.ms-office.activeX"/>
  <Override PartName="/xl/activeX/activeX29.xml" ContentType="application/vnd.ms-office.activeX+xml"/>
  <Override PartName="/xl/activeX/activeX29.bin" ContentType="application/vnd.ms-office.activeX"/>
  <Override PartName="/xl/activeX/activeX30.xml" ContentType="application/vnd.ms-office.activeX+xml"/>
  <Override PartName="/xl/activeX/activeX30.bin" ContentType="application/vnd.ms-office.activeX"/>
  <Override PartName="/xl/activeX/activeX31.xml" ContentType="application/vnd.ms-office.activeX+xml"/>
  <Override PartName="/xl/activeX/activeX31.bin" ContentType="application/vnd.ms-office.activeX"/>
  <Override PartName="/xl/activeX/activeX32.xml" ContentType="application/vnd.ms-office.activeX+xml"/>
  <Override PartName="/xl/activeX/activeX32.bin" ContentType="application/vnd.ms-office.activeX"/>
  <Override PartName="/xl/activeX/activeX33.xml" ContentType="application/vnd.ms-office.activeX+xml"/>
  <Override PartName="/xl/activeX/activeX33.bin" ContentType="application/vnd.ms-office.activeX"/>
  <Override PartName="/xl/activeX/activeX34.xml" ContentType="application/vnd.ms-office.activeX+xml"/>
  <Override PartName="/xl/activeX/activeX34.bin" ContentType="application/vnd.ms-office.activeX"/>
  <Override PartName="/xl/activeX/activeX35.xml" ContentType="application/vnd.ms-office.activeX+xml"/>
  <Override PartName="/xl/activeX/activeX35.bin" ContentType="application/vnd.ms-office.activeX"/>
  <Override PartName="/xl/activeX/activeX36.xml" ContentType="application/vnd.ms-office.activeX+xml"/>
  <Override PartName="/xl/activeX/activeX36.bin" ContentType="application/vnd.ms-office.activeX"/>
  <Override PartName="/xl/activeX/activeX37.xml" ContentType="application/vnd.ms-office.activeX+xml"/>
  <Override PartName="/xl/activeX/activeX37.bin" ContentType="application/vnd.ms-office.activeX"/>
  <Override PartName="/xl/activeX/activeX38.xml" ContentType="application/vnd.ms-office.activeX+xml"/>
  <Override PartName="/xl/activeX/activeX38.bin" ContentType="application/vnd.ms-office.activeX"/>
  <Override PartName="/xl/activeX/activeX39.xml" ContentType="application/vnd.ms-office.activeX+xml"/>
  <Override PartName="/xl/activeX/activeX39.bin" ContentType="application/vnd.ms-office.activeX"/>
  <Override PartName="/xl/activeX/activeX40.xml" ContentType="application/vnd.ms-office.activeX+xml"/>
  <Override PartName="/xl/activeX/activeX40.bin" ContentType="application/vnd.ms-office.activeX"/>
  <Override PartName="/xl/activeX/activeX41.xml" ContentType="application/vnd.ms-office.activeX+xml"/>
  <Override PartName="/xl/activeX/activeX41.bin" ContentType="application/vnd.ms-office.activeX"/>
  <Override PartName="/xl/activeX/activeX42.xml" ContentType="application/vnd.ms-office.activeX+xml"/>
  <Override PartName="/xl/activeX/activeX42.bin" ContentType="application/vnd.ms-office.activeX"/>
  <Override PartName="/xl/activeX/activeX43.xml" ContentType="application/vnd.ms-office.activeX+xml"/>
  <Override PartName="/xl/activeX/activeX43.bin" ContentType="application/vnd.ms-office.activeX"/>
  <Override PartName="/xl/activeX/activeX44.xml" ContentType="application/vnd.ms-office.activeX+xml"/>
  <Override PartName="/xl/activeX/activeX44.bin" ContentType="application/vnd.ms-office.activeX"/>
  <Override PartName="/xl/drawings/drawing22.xml" ContentType="application/vnd.openxmlformats-officedocument.drawing+xml"/>
  <Override PartName="/xl/activeX/activeX45.xml" ContentType="application/vnd.ms-office.activeX+xml"/>
  <Override PartName="/xl/activeX/activeX45.bin" ContentType="application/vnd.ms-office.activeX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9929" codeName="{28389E77-7640-9E18-AD5C-E98E2F4A8B83}"/>
  <workbookPr codeName="ThisWorkbook"/>
  <mc:AlternateContent xmlns:mc="http://schemas.openxmlformats.org/markup-compatibility/2006">
    <mc:Choice Requires="x15">
      <x15ac:absPath xmlns:x15ac="http://schemas.microsoft.com/office/spreadsheetml/2010/11/ac" url="C:\Courses\Aero 471\Fall 2022_NGAT\summer2022\5GATAtail\"/>
    </mc:Choice>
  </mc:AlternateContent>
  <xr:revisionPtr revIDLastSave="0" documentId="13_ncr:1_{047701BB-E8D3-45D6-8F06-A46518EB4C49}" xr6:coauthVersionLast="47" xr6:coauthVersionMax="47" xr10:uidLastSave="{00000000-0000-0000-0000-000000000000}"/>
  <bookViews>
    <workbookView xWindow="-108" yWindow="-108" windowWidth="23256" windowHeight="13896" firstSheet="5" activeTab="10" xr2:uid="{00000000-000D-0000-FFFF-FFFF00000000}"/>
  </bookViews>
  <sheets>
    <sheet name="CL vs Alpha" sheetId="1386" r:id="rId1"/>
    <sheet name="CD vs Alpha" sheetId="1387" r:id="rId2"/>
    <sheet name="CD vs CL" sheetId="1388" r:id="rId3"/>
    <sheet name="Cm vs CL" sheetId="1389" r:id="rId4"/>
    <sheet name="Cma vs Alpha" sheetId="1390" r:id="rId5"/>
    <sheet name="Cm vs Alpha" sheetId="1391" r:id="rId6"/>
    <sheet name="Static Margin vs Alpha" sheetId="1392" r:id="rId7"/>
    <sheet name="CYb vs Alpha" sheetId="1393" r:id="rId8"/>
    <sheet name="Cnb vs Alpha" sheetId="1394" r:id="rId9"/>
    <sheet name="Clb vs Alpha" sheetId="1395" r:id="rId10"/>
    <sheet name="Data Entry" sheetId="4" r:id="rId11"/>
    <sheet name="Configuration Log" sheetId="1045" r:id="rId12"/>
    <sheet name="Options" sheetId="2" r:id="rId13"/>
    <sheet name="Run ID 1" sheetId="1338" r:id="rId14"/>
    <sheet name="Beta Data" sheetId="1385" r:id="rId15"/>
    <sheet name="Run ID 2" sheetId="1339" r:id="rId16"/>
  </sheets>
  <functionGroups builtInGroupCount="19"/>
  <definedNames>
    <definedName name="_xlnm.Print_Area" localSheetId="10">'Data Entry'!$B$2:$U$28</definedName>
    <definedName name="_xlnm.Print_Area" localSheetId="12">Options!$A$1:$I$17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O21" i="4" l="1"/>
  <c r="Q13" i="4"/>
  <c r="Q14" i="4" s="1"/>
  <c r="Q15" i="4" s="1"/>
  <c r="O13" i="4"/>
  <c r="O14" i="4" s="1"/>
  <c r="O15" i="4" s="1"/>
  <c r="R13" i="4"/>
  <c r="R14" i="4" s="1"/>
  <c r="R15" i="4" s="1"/>
  <c r="S13" i="4"/>
  <c r="S14" i="4" s="1"/>
  <c r="S15" i="4" s="1"/>
  <c r="N13" i="4"/>
  <c r="N14" i="4" s="1"/>
  <c r="N15" i="4" s="1"/>
  <c r="M13" i="4"/>
  <c r="M14" i="4" s="1"/>
  <c r="M15" i="4" s="1"/>
  <c r="L11" i="1045" l="1"/>
  <c r="L10" i="1045"/>
  <c r="K4" i="1045"/>
  <c r="F11" i="1045"/>
  <c r="F10" i="1045"/>
  <c r="F7" i="1045"/>
  <c r="F6" i="1045"/>
  <c r="K11" i="1045"/>
  <c r="K10" i="1045"/>
  <c r="K9" i="1045"/>
  <c r="K8" i="1045"/>
  <c r="K7" i="1045"/>
  <c r="L7" i="1045" s="1"/>
  <c r="K6" i="1045"/>
  <c r="K5" i="1045"/>
  <c r="F9" i="1045"/>
  <c r="AL230" i="2"/>
  <c r="AK230" i="2"/>
  <c r="AL229" i="2"/>
  <c r="AK229" i="2"/>
  <c r="AL228" i="2"/>
  <c r="AK228" i="2"/>
  <c r="AL227" i="2"/>
  <c r="AK227" i="2"/>
  <c r="AL226" i="2"/>
  <c r="AK226" i="2"/>
  <c r="AL225" i="2"/>
  <c r="AK225" i="2"/>
  <c r="AL224" i="2"/>
  <c r="AK224" i="2"/>
  <c r="AL223" i="2"/>
  <c r="AK223" i="2"/>
  <c r="AL222" i="2"/>
  <c r="AK222" i="2"/>
  <c r="AL221" i="2"/>
  <c r="AK221" i="2"/>
  <c r="AL220" i="2"/>
  <c r="AK220" i="2"/>
  <c r="AL219" i="2"/>
  <c r="AK219" i="2"/>
  <c r="AL218" i="2"/>
  <c r="AK218" i="2"/>
  <c r="AL217" i="2"/>
  <c r="AK217" i="2"/>
  <c r="AL216" i="2"/>
  <c r="AK216" i="2"/>
  <c r="AL215" i="2"/>
  <c r="AK215" i="2"/>
  <c r="AL231" i="2"/>
  <c r="AK231" i="2"/>
  <c r="AL214" i="2"/>
  <c r="AK214" i="2"/>
  <c r="AL213" i="2"/>
  <c r="AK213" i="2"/>
  <c r="AL212" i="2"/>
  <c r="AK212" i="2"/>
  <c r="AL211" i="2"/>
  <c r="AK211" i="2"/>
  <c r="AL210" i="2"/>
  <c r="AK210" i="2"/>
  <c r="AL209" i="2"/>
  <c r="AK209" i="2"/>
  <c r="AL208" i="2"/>
  <c r="AK208" i="2"/>
  <c r="AL207" i="2"/>
  <c r="AK207" i="2"/>
  <c r="AL206" i="2"/>
  <c r="AK206" i="2"/>
  <c r="AL205" i="2"/>
  <c r="AK205" i="2"/>
  <c r="AL204" i="2"/>
  <c r="AK204" i="2"/>
  <c r="AL203" i="2"/>
  <c r="AK203" i="2"/>
  <c r="AL202" i="2"/>
  <c r="AK202" i="2"/>
  <c r="AL201" i="2"/>
  <c r="AK201" i="2"/>
  <c r="AL200" i="2"/>
  <c r="AK200" i="2"/>
  <c r="AL199" i="2"/>
  <c r="AK199" i="2"/>
  <c r="AL198" i="2"/>
  <c r="AK198" i="2"/>
  <c r="AL197" i="2"/>
  <c r="AK197" i="2"/>
  <c r="AL196" i="2"/>
  <c r="AK196" i="2"/>
  <c r="AL195" i="2"/>
  <c r="AK195" i="2"/>
  <c r="AL194" i="2"/>
  <c r="AK194" i="2"/>
  <c r="AL193" i="2"/>
  <c r="AK193" i="2"/>
  <c r="AL192" i="2"/>
  <c r="AK192" i="2"/>
  <c r="AL191" i="2"/>
  <c r="AK191" i="2"/>
  <c r="AL190" i="2"/>
  <c r="AK190" i="2"/>
  <c r="AL189" i="2"/>
  <c r="AK189" i="2"/>
  <c r="AL188" i="2"/>
  <c r="AK188" i="2"/>
  <c r="AL187" i="2"/>
  <c r="AK187" i="2"/>
  <c r="AL186" i="2"/>
  <c r="AK186" i="2"/>
  <c r="AL182" i="2"/>
  <c r="AL181" i="2"/>
  <c r="AL180" i="2"/>
  <c r="AL179" i="2"/>
  <c r="AL178" i="2"/>
  <c r="AL177" i="2"/>
  <c r="AL183" i="2"/>
  <c r="AL176" i="2"/>
  <c r="AL175" i="2"/>
  <c r="AL174" i="2"/>
  <c r="AL173" i="2"/>
  <c r="AL172" i="2"/>
  <c r="AL171" i="2"/>
  <c r="AL170" i="2"/>
  <c r="AL169" i="2"/>
  <c r="AL168" i="2"/>
  <c r="AL167" i="2"/>
  <c r="AL166" i="2"/>
  <c r="AL165" i="2"/>
  <c r="AL164" i="2"/>
  <c r="AL163" i="2"/>
  <c r="AL162" i="2"/>
  <c r="AL161" i="2"/>
  <c r="AL160" i="2"/>
  <c r="AL159" i="2"/>
  <c r="AL158" i="2"/>
  <c r="AL157" i="2"/>
  <c r="AL156" i="2"/>
  <c r="AL155" i="2"/>
  <c r="AL154" i="2"/>
  <c r="AL153" i="2"/>
  <c r="AL152" i="2"/>
  <c r="AL151" i="2"/>
  <c r="AL150" i="2"/>
  <c r="AL149" i="2"/>
  <c r="AL148" i="2"/>
  <c r="AL138" i="2"/>
  <c r="AK138" i="2"/>
  <c r="AL137" i="2"/>
  <c r="AK137" i="2"/>
  <c r="AL136" i="2"/>
  <c r="AK136" i="2"/>
  <c r="AL135" i="2"/>
  <c r="AK135" i="2"/>
  <c r="AL134" i="2"/>
  <c r="AK134" i="2"/>
  <c r="AL133" i="2"/>
  <c r="AK133" i="2"/>
  <c r="AL132" i="2"/>
  <c r="AK132" i="2"/>
  <c r="AL131" i="2"/>
  <c r="AK131" i="2"/>
  <c r="AL139" i="2"/>
  <c r="AK139" i="2"/>
  <c r="AL111" i="2"/>
  <c r="AL110" i="2"/>
  <c r="AL130" i="2"/>
  <c r="AK130" i="2"/>
  <c r="AL129" i="2"/>
  <c r="AK129" i="2"/>
  <c r="AL128" i="2"/>
  <c r="AK128" i="2"/>
  <c r="AL127" i="2"/>
  <c r="AK127" i="2"/>
  <c r="AL126" i="2"/>
  <c r="AK126" i="2"/>
  <c r="AL125" i="2"/>
  <c r="AK125" i="2"/>
  <c r="AL124" i="2"/>
  <c r="AK124" i="2"/>
  <c r="AL123" i="2"/>
  <c r="AK123" i="2"/>
  <c r="AL122" i="2"/>
  <c r="AK122" i="2"/>
  <c r="AL121" i="2"/>
  <c r="AK121" i="2"/>
  <c r="AL120" i="2"/>
  <c r="AK120" i="2"/>
  <c r="AL119" i="2"/>
  <c r="AK119" i="2"/>
  <c r="AL118" i="2"/>
  <c r="AK118" i="2"/>
  <c r="AL117" i="2"/>
  <c r="AK117" i="2"/>
  <c r="AL116" i="2"/>
  <c r="AK116" i="2"/>
  <c r="AL115" i="2"/>
  <c r="AK115" i="2"/>
  <c r="AL114" i="2"/>
  <c r="AK114" i="2"/>
  <c r="AL113" i="2"/>
  <c r="AK113" i="2"/>
  <c r="AL112" i="2"/>
  <c r="AK112" i="2"/>
  <c r="AK111" i="2"/>
  <c r="AK110" i="2"/>
  <c r="AL81" i="2"/>
  <c r="AL80" i="2"/>
  <c r="AL79" i="2"/>
  <c r="AL78" i="2"/>
  <c r="AL77" i="2"/>
  <c r="AL76" i="2"/>
  <c r="AL75" i="2"/>
  <c r="AL74" i="2"/>
  <c r="AL73" i="2"/>
  <c r="AL72" i="2"/>
  <c r="AL71" i="2"/>
  <c r="AL70" i="2"/>
  <c r="AL69" i="2"/>
  <c r="AL68" i="2"/>
  <c r="AL67" i="2"/>
  <c r="AL66" i="2"/>
  <c r="AL65" i="2"/>
  <c r="AL64" i="2"/>
  <c r="AL63" i="2"/>
  <c r="AK41" i="2"/>
  <c r="AL38" i="2"/>
  <c r="AL37" i="2"/>
  <c r="AL36" i="2"/>
  <c r="AL35" i="2"/>
  <c r="AL34" i="2"/>
  <c r="AL33" i="2"/>
  <c r="AL32" i="2"/>
  <c r="AL31" i="2"/>
  <c r="AL30" i="2"/>
  <c r="AL29" i="2"/>
  <c r="AL28" i="2"/>
  <c r="AL27" i="2"/>
  <c r="AL26" i="2"/>
  <c r="AL25" i="2"/>
  <c r="AL24" i="2"/>
  <c r="AL23" i="2"/>
  <c r="AL22" i="2"/>
  <c r="AL21" i="2"/>
  <c r="AL20" i="2"/>
  <c r="AL19" i="2"/>
  <c r="AL18" i="2"/>
  <c r="AK40" i="2"/>
  <c r="AK39" i="2"/>
  <c r="AK38" i="2"/>
  <c r="AK37" i="2"/>
  <c r="AK36" i="2"/>
  <c r="AK35" i="2"/>
  <c r="AK34" i="2"/>
  <c r="AK33" i="2"/>
  <c r="AK32" i="2"/>
  <c r="AK31" i="2"/>
  <c r="AK30" i="2"/>
  <c r="AK29" i="2"/>
  <c r="AK28" i="2"/>
  <c r="AK27" i="2"/>
  <c r="AK26" i="2"/>
  <c r="AK25" i="2"/>
  <c r="AK24" i="2"/>
  <c r="AK23" i="2"/>
  <c r="AK22" i="2"/>
  <c r="AK21" i="2"/>
  <c r="AK20" i="2"/>
  <c r="AK19" i="2"/>
  <c r="AK18" i="2"/>
  <c r="AK17" i="2"/>
  <c r="C11" i="1045"/>
  <c r="C10" i="1045"/>
  <c r="C9" i="1045"/>
  <c r="C8" i="1045"/>
  <c r="C7" i="1045"/>
  <c r="C6" i="1045"/>
  <c r="C5" i="1045"/>
  <c r="C4" i="1045"/>
  <c r="L6" i="1045" l="1"/>
  <c r="F4" i="1045"/>
  <c r="L4" i="1045" s="1"/>
  <c r="F8" i="1045"/>
  <c r="L8" i="1045" s="1"/>
  <c r="L9" i="1045"/>
  <c r="F5" i="1045"/>
  <c r="L5" i="1045" s="1"/>
</calcChain>
</file>

<file path=xl/sharedStrings.xml><?xml version="1.0" encoding="utf-8"?>
<sst xmlns="http://schemas.openxmlformats.org/spreadsheetml/2006/main" count="270" uniqueCount="159">
  <si>
    <t>Data File Name</t>
  </si>
  <si>
    <t>Blue</t>
  </si>
  <si>
    <t>Red</t>
  </si>
  <si>
    <t>Green</t>
  </si>
  <si>
    <t>Brown</t>
  </si>
  <si>
    <t>Gray</t>
  </si>
  <si>
    <t>Violet</t>
  </si>
  <si>
    <t>Descriptor</t>
  </si>
  <si>
    <t>Run ID</t>
  </si>
  <si>
    <t>Line Color</t>
  </si>
  <si>
    <t>Mach</t>
  </si>
  <si>
    <t>P, psia</t>
  </si>
  <si>
    <t>Data File Access</t>
  </si>
  <si>
    <t>UNCLASSIFIED</t>
  </si>
  <si>
    <t>Start</t>
  </si>
  <si>
    <t>Stop</t>
  </si>
  <si>
    <t>Chart Selection</t>
  </si>
  <si>
    <t>T, °F</t>
  </si>
  <si>
    <t>Re</t>
  </si>
  <si>
    <t>Gold</t>
  </si>
  <si>
    <t>Teal</t>
  </si>
  <si>
    <t>Alpha</t>
  </si>
  <si>
    <t>CL</t>
  </si>
  <si>
    <t>CD</t>
  </si>
  <si>
    <t>Cm</t>
  </si>
  <si>
    <t>Cn</t>
  </si>
  <si>
    <t>Cl</t>
  </si>
  <si>
    <t>CY</t>
  </si>
  <si>
    <t>Cnb</t>
  </si>
  <si>
    <t>Clb</t>
  </si>
  <si>
    <t>CYb</t>
  </si>
  <si>
    <t>Cma</t>
  </si>
  <si>
    <t>F-16</t>
  </si>
  <si>
    <t>T-38</t>
  </si>
  <si>
    <t>Source Information</t>
  </si>
  <si>
    <t>CL vs Alpha comes from USAFA data which is F-16 flight test data taken at Mach 0.9, 30 kft and corrected to M0.2 using Prandtl-Glauert corrections.</t>
  </si>
  <si>
    <t>Cm vs Alpha comes from Figure B-2, file: F-16 Stability Derivatives.2</t>
  </si>
  <si>
    <t>Cn vs Alpha comes from Figure B-2, file: F-16 Stability Derivatives.2</t>
  </si>
  <si>
    <t>CYb vs Alpha comes from Figure B-4, file: F-16 Stability Derivatives.1</t>
  </si>
  <si>
    <t>Cnb vs Alpha comes from Figure B-4, file: F-16 Stability Derivatives.1</t>
  </si>
  <si>
    <t>Clb vs Alpha comes from Figure B-4, file: F-16 Stability Derivatives.1</t>
  </si>
  <si>
    <r>
      <t>a</t>
    </r>
    <r>
      <rPr>
        <sz val="10"/>
        <rFont val="Arial"/>
        <family val="2"/>
      </rPr>
      <t xml:space="preserve"> shift, deg</t>
    </r>
  </si>
  <si>
    <t>Static Margin</t>
  </si>
  <si>
    <t>CL vs Alpha comes from professional wind tunnel data of the T-38A as depicted in Introduction to Flight Mechanics, pg. 591.</t>
  </si>
  <si>
    <t>Parameter</t>
  </si>
  <si>
    <t>Minimum</t>
  </si>
  <si>
    <t>Maximum</t>
  </si>
  <si>
    <t>Chart title</t>
  </si>
  <si>
    <t>X Axis title</t>
  </si>
  <si>
    <t>Y-Axis title</t>
  </si>
  <si>
    <t>X-Axis labels</t>
  </si>
  <si>
    <t>Y-axis labels</t>
  </si>
  <si>
    <t>Legend text</t>
  </si>
  <si>
    <r>
      <rPr>
        <vertAlign val="superscript"/>
        <sz val="8"/>
        <rFont val="Arial"/>
        <family val="2"/>
      </rPr>
      <t>1</t>
    </r>
    <r>
      <rPr>
        <sz val="8"/>
        <rFont val="Arial"/>
        <family val="2"/>
      </rPr>
      <t>Enter -999 to auto scale</t>
    </r>
  </si>
  <si>
    <t>Font Size for Chart Labels</t>
  </si>
  <si>
    <r>
      <t>Plot Limits for Chart Axes</t>
    </r>
    <r>
      <rPr>
        <vertAlign val="superscript"/>
        <sz val="10"/>
        <rFont val="Arial"/>
        <family val="2"/>
      </rPr>
      <t>1</t>
    </r>
  </si>
  <si>
    <t>Header</t>
  </si>
  <si>
    <t>Footer</t>
  </si>
  <si>
    <t>Page Markings (printed copy only)</t>
  </si>
  <si>
    <t>Data Offsets (Skips hysteresis data)</t>
  </si>
  <si>
    <t>Options Page</t>
  </si>
  <si>
    <t>F-106A</t>
  </si>
  <si>
    <t>F-102B</t>
  </si>
  <si>
    <t>CL vs Alpha comes from Figure 18, file: F102B Longitudinal Characteristics</t>
  </si>
  <si>
    <t>CD vs CL, Alpha comes from Figure 18, file: F102B Longitudinal Characteristics</t>
  </si>
  <si>
    <t>CYb vs CL, Alpha comes from Convair DC-8B-156, Figure 1, file: F106A Lateral Stability Derivatives</t>
  </si>
  <si>
    <t>Cnb vs CL, Alpha comes from Convair DC-8B-156, Figure 1, file: F106A Lateral Stability Derivatives</t>
  </si>
  <si>
    <t>Clb vs CL, Alpha comes from Convair DC-8B-156, Figure 1, file: F106A Lateral Stability Derivatives</t>
  </si>
  <si>
    <t>CL vs Alpha comes from Kansas University Tunnel data, Figure 9A, (0 deg flaps) file: F106 Aero Data</t>
  </si>
  <si>
    <t>Cm vs CL, Alpha comes from Kansas University Tunnel data, Figure 7C (W+B KU), file: F106 Aero Data</t>
  </si>
  <si>
    <t>Cm vs CL, Alpha comes from Figure 18, file: F102B Longitudinal Characteristics</t>
  </si>
  <si>
    <t>F-106KU</t>
  </si>
  <si>
    <t>CL vs Alpha comes from Convair DC-8B-156, Figure 1, file: F106A Lateral Stability Derivatives</t>
  </si>
  <si>
    <r>
      <t>Historical Overlay</t>
    </r>
    <r>
      <rPr>
        <vertAlign val="superscript"/>
        <sz val="10"/>
        <rFont val="Arial"/>
        <family val="2"/>
      </rPr>
      <t>1</t>
    </r>
  </si>
  <si>
    <t>None</t>
  </si>
  <si>
    <t>Model Configuration Log</t>
  </si>
  <si>
    <t>Detailed Description of Model</t>
  </si>
  <si>
    <t>Model Scale, %</t>
  </si>
  <si>
    <t>Baseline Model Configuration Designation</t>
  </si>
  <si>
    <t>CLa</t>
  </si>
  <si>
    <t>Static margin</t>
  </si>
  <si>
    <t>Angle x, deg</t>
  </si>
  <si>
    <t>Angle y, deg</t>
  </si>
  <si>
    <r>
      <t>Area x, in</t>
    </r>
    <r>
      <rPr>
        <vertAlign val="superscript"/>
        <sz val="10"/>
        <rFont val="Arial"/>
        <family val="2"/>
      </rPr>
      <t>2</t>
    </r>
  </si>
  <si>
    <r>
      <t>Area y, in</t>
    </r>
    <r>
      <rPr>
        <vertAlign val="superscript"/>
        <sz val="10"/>
        <rFont val="Arial"/>
        <family val="2"/>
      </rPr>
      <t>2</t>
    </r>
  </si>
  <si>
    <t>Test section width, in</t>
  </si>
  <si>
    <t>Kirsten Wind Tunnel Parameters</t>
  </si>
  <si>
    <t>Test section height, in</t>
  </si>
  <si>
    <t>k</t>
  </si>
  <si>
    <t>d</t>
  </si>
  <si>
    <t>Note: These values are fixed in the code; changing them in the table above has no impact on any calculations.</t>
  </si>
  <si>
    <t>Beta derivative charts are valid only for multiple data files of a common model configuration at differing sideslip angles</t>
  </si>
  <si>
    <t>Blockage Correction</t>
  </si>
  <si>
    <r>
      <rPr>
        <vertAlign val="superscript"/>
        <sz val="10"/>
        <rFont val="Arial"/>
        <family val="2"/>
      </rPr>
      <t>1</t>
    </r>
    <r>
      <rPr>
        <sz val="10"/>
        <rFont val="Arial"/>
        <family val="2"/>
      </rPr>
      <t xml:space="preserve">Historical overlays for validating or comparing wind tunnel results are available for several aircraft. To access these overlays enter the following in cell M4:
</t>
    </r>
    <r>
      <rPr>
        <b/>
        <i/>
        <sz val="10"/>
        <rFont val="Arial"/>
        <family val="2"/>
      </rPr>
      <t>None</t>
    </r>
    <r>
      <rPr>
        <sz val="10"/>
        <rFont val="Arial"/>
        <family val="2"/>
      </rPr>
      <t xml:space="preserve">: no overlay.  </t>
    </r>
    <r>
      <rPr>
        <b/>
        <i/>
        <sz val="10"/>
        <rFont val="Arial"/>
        <family val="2"/>
      </rPr>
      <t>F-16</t>
    </r>
    <r>
      <rPr>
        <sz val="10"/>
        <rFont val="Arial"/>
        <family val="2"/>
      </rPr>
      <t xml:space="preserve">:  F-16 data from multiple sources.  </t>
    </r>
    <r>
      <rPr>
        <b/>
        <i/>
        <sz val="10"/>
        <rFont val="Arial"/>
        <family val="2"/>
      </rPr>
      <t>T-38</t>
    </r>
    <r>
      <rPr>
        <sz val="10"/>
        <rFont val="Arial"/>
        <family val="2"/>
      </rPr>
      <t xml:space="preserve">: T-38 wind tunnel data from USAFA.  </t>
    </r>
    <r>
      <rPr>
        <b/>
        <i/>
        <sz val="10"/>
        <rFont val="Arial"/>
        <family val="2"/>
      </rPr>
      <t>F-102B</t>
    </r>
    <r>
      <rPr>
        <sz val="10"/>
        <rFont val="Arial"/>
        <family val="2"/>
      </rPr>
      <t xml:space="preserve">: Historical F-102 flight test data.
</t>
    </r>
    <r>
      <rPr>
        <b/>
        <i/>
        <sz val="10"/>
        <rFont val="Arial"/>
        <family val="2"/>
      </rPr>
      <t>F-106A</t>
    </r>
    <r>
      <rPr>
        <sz val="10"/>
        <rFont val="Arial"/>
        <family val="2"/>
      </rPr>
      <t xml:space="preserve">: HIstorical F-106A flight test data.  </t>
    </r>
    <r>
      <rPr>
        <b/>
        <i/>
        <sz val="10"/>
        <rFont val="Arial"/>
        <family val="2"/>
      </rPr>
      <t>F-106KU</t>
    </r>
    <r>
      <rPr>
        <sz val="10"/>
        <rFont val="Arial"/>
        <family val="2"/>
      </rPr>
      <t>: F-106 wind tunnel data from Kansas University</t>
    </r>
  </si>
  <si>
    <t>WE</t>
  </si>
  <si>
    <r>
      <t xml:space="preserve">Wall Effect Correction Factor from Pope, </t>
    </r>
    <r>
      <rPr>
        <i/>
        <sz val="10"/>
        <rFont val="Symbol"/>
        <family val="1"/>
        <charset val="2"/>
      </rPr>
      <t>l</t>
    </r>
    <r>
      <rPr>
        <i/>
        <sz val="10"/>
        <rFont val="Arial"/>
        <family val="2"/>
      </rPr>
      <t>=1.0</t>
    </r>
  </si>
  <si>
    <r>
      <rPr>
        <sz val="11"/>
        <rFont val="Symbol"/>
        <family val="1"/>
        <charset val="2"/>
      </rPr>
      <t>l</t>
    </r>
    <r>
      <rPr>
        <sz val="10"/>
        <rFont val="Arial"/>
        <family val="2"/>
      </rPr>
      <t xml:space="preserve"> = test section height / test section width</t>
    </r>
  </si>
  <si>
    <r>
      <rPr>
        <sz val="11"/>
        <rFont val="Arial"/>
        <family val="2"/>
      </rPr>
      <t>k</t>
    </r>
    <r>
      <rPr>
        <sz val="10"/>
        <rFont val="Arial"/>
        <family val="2"/>
      </rPr>
      <t xml:space="preserve"> = model wing span / test section width</t>
    </r>
  </si>
  <si>
    <r>
      <rPr>
        <sz val="11"/>
        <rFont val="Symbol"/>
        <family val="1"/>
        <charset val="2"/>
      </rPr>
      <t>d</t>
    </r>
    <r>
      <rPr>
        <sz val="10"/>
        <rFont val="Arial"/>
        <family val="2"/>
      </rPr>
      <t xml:space="preserve"> = Wall effect (boundary) correction factor from Pope</t>
    </r>
  </si>
  <si>
    <t>Model scale, i.e. =1/24</t>
  </si>
  <si>
    <t>Moment Reference Center</t>
  </si>
  <si>
    <t>Desired MRC FS</t>
  </si>
  <si>
    <t>Nose-Screw Distance</t>
  </si>
  <si>
    <t>A/C Nose FS</t>
  </si>
  <si>
    <r>
      <rPr>
        <b/>
        <sz val="9"/>
        <rFont val="Arial"/>
        <family val="2"/>
      </rPr>
      <t>Moment reference center (MRC):</t>
    </r>
    <r>
      <rPr>
        <sz val="9"/>
        <rFont val="Arial"/>
        <family val="2"/>
      </rPr>
      <t xml:space="preserve"> The MRC, or location relative to the model about which to compute moments, is specified by the user in columns M thru O.  </t>
    </r>
    <r>
      <rPr>
        <i/>
        <sz val="9"/>
        <rFont val="Arial"/>
        <family val="2"/>
      </rPr>
      <t>A/C Nose FS</t>
    </r>
    <r>
      <rPr>
        <sz val="9"/>
        <rFont val="Arial"/>
        <family val="2"/>
      </rPr>
      <t xml:space="preserve"> is the location of the model's nose in Fuselage Station (FS) coordinates,  </t>
    </r>
    <r>
      <rPr>
        <b/>
        <sz val="9"/>
        <rFont val="Arial"/>
        <family val="2"/>
      </rPr>
      <t>If no value is entered, a value of 0 is assumed.</t>
    </r>
    <r>
      <rPr>
        <sz val="9"/>
        <rFont val="Arial"/>
        <family val="2"/>
      </rPr>
      <t xml:space="preserve">   </t>
    </r>
    <r>
      <rPr>
        <i/>
        <sz val="9"/>
        <rFont val="Arial"/>
        <family val="2"/>
      </rPr>
      <t>Desired MRC FS</t>
    </r>
    <r>
      <rPr>
        <sz val="9"/>
        <rFont val="Arial"/>
        <family val="2"/>
      </rPr>
      <t xml:space="preserve"> is the location about which moments will be computed in FS coordinates.  This is normally set to be at or near the MAC 1/4 chord.  </t>
    </r>
    <r>
      <rPr>
        <i/>
        <sz val="9"/>
        <rFont val="Arial"/>
        <family val="2"/>
      </rPr>
      <t>Nose-Screw Distance</t>
    </r>
    <r>
      <rPr>
        <sz val="9"/>
        <rFont val="Arial"/>
        <family val="2"/>
      </rPr>
      <t xml:space="preserve"> is the distance in inches from the model's nose to the location of the balance mounting screw.  Model scale is the scale of the model (normally 1/24 at the USAFA).  If this is set to 1 (100%), than all values given in the cells above it correlate to direct measurements on the model itself.  Note that if any parameter other than </t>
    </r>
    <r>
      <rPr>
        <i/>
        <sz val="9"/>
        <rFont val="Arial"/>
        <family val="2"/>
      </rPr>
      <t>A/C Nose FS</t>
    </r>
    <r>
      <rPr>
        <sz val="9"/>
        <rFont val="Arial"/>
        <family val="2"/>
      </rPr>
      <t xml:space="preserve"> is left blank, Cm will be computed using the default moment reference center shift found in the data file, but it's location relative to a point on the aircraft, i.e. FS location, will be indeterminate.</t>
    </r>
  </si>
  <si>
    <r>
      <rPr>
        <b/>
        <sz val="9"/>
        <rFont val="Arial"/>
        <family val="2"/>
      </rPr>
      <t>Blockage correction</t>
    </r>
    <r>
      <rPr>
        <sz val="9"/>
        <rFont val="Arial"/>
        <family val="2"/>
      </rPr>
      <t>:  In the cells above, enter the pitch angle and model frontal area for points near the extremes of the test data.  To apply corrections, both areas must be &gt; 0, and Angle y &gt; Angle x.  Uncheck WE to override the wall effects correction.</t>
    </r>
  </si>
  <si>
    <t>Model nose to MAC 1/4 chord distance, in</t>
  </si>
  <si>
    <t>Wing span, in</t>
  </si>
  <si>
    <t>MAC, in</t>
  </si>
  <si>
    <t>Moment Reference Center Location, FS</t>
  </si>
  <si>
    <t>Moment Reference Center Location, % MAC</t>
  </si>
  <si>
    <t>Measurements from Model</t>
  </si>
  <si>
    <r>
      <t>Wing Area, in</t>
    </r>
    <r>
      <rPr>
        <vertAlign val="superscript"/>
        <sz val="10"/>
        <rFont val="Arial"/>
        <family val="2"/>
      </rPr>
      <t>2</t>
    </r>
  </si>
  <si>
    <t>Run Parameters (averages)</t>
  </si>
  <si>
    <t>Run ID =  1</t>
  </si>
  <si>
    <t>NMomArm =</t>
  </si>
  <si>
    <t>YMomArm =</t>
  </si>
  <si>
    <t>RefLen =</t>
  </si>
  <si>
    <t>RefArea =</t>
  </si>
  <si>
    <t>MAC =</t>
  </si>
  <si>
    <t>Span =</t>
  </si>
  <si>
    <t>MomXShft =</t>
  </si>
  <si>
    <t>AoAOffst =</t>
  </si>
  <si>
    <t>Beta</t>
  </si>
  <si>
    <t>Ma</t>
  </si>
  <si>
    <t>T0Stil</t>
  </si>
  <si>
    <t>Tinf</t>
  </si>
  <si>
    <t>pInf</t>
  </si>
  <si>
    <t>qInf</t>
  </si>
  <si>
    <t>N1</t>
  </si>
  <si>
    <t>N2</t>
  </si>
  <si>
    <t>Y1</t>
  </si>
  <si>
    <t>Y2</t>
  </si>
  <si>
    <t>CLift</t>
  </si>
  <si>
    <t>CDrag</t>
  </si>
  <si>
    <t>CRoMomSh</t>
  </si>
  <si>
    <t>[ ° ]</t>
  </si>
  <si>
    <t>[-]</t>
  </si>
  <si>
    <t>[°F]</t>
  </si>
  <si>
    <t>[psia]</t>
  </si>
  <si>
    <t>[lb]</t>
  </si>
  <si>
    <t>nrec =</t>
  </si>
  <si>
    <t>Run ID =  2</t>
  </si>
  <si>
    <t>Alpha (corrected)</t>
  </si>
  <si>
    <t>CLift (corrected)</t>
  </si>
  <si>
    <t>CDrag (corrected)</t>
  </si>
  <si>
    <t>EpsSB</t>
  </si>
  <si>
    <t>MRC FS</t>
  </si>
  <si>
    <t>CMAlpha</t>
  </si>
  <si>
    <t>CLAlpha</t>
  </si>
  <si>
    <t>SM</t>
  </si>
  <si>
    <t>USAFA Wind Tunnel Data Display Tool v4.1</t>
  </si>
  <si>
    <t>5gat_Atail_B0.COE</t>
  </si>
  <si>
    <t>Original data file = 5gat_Atail_B0.COE</t>
  </si>
  <si>
    <t>Atail beta 0</t>
  </si>
  <si>
    <t>5gat_Atail_B10.COE</t>
  </si>
  <si>
    <t>Original data file = 5gat_Atail_B10.COE</t>
  </si>
  <si>
    <t>Atail beta 10</t>
  </si>
  <si>
    <t>Tunnel correction terms: Lambda = 1.0, k =  .333, delta =  .141, sigma =  .011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</si>
</sst>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5">
    <numFmt numFmtId="164" formatCode="0.0E+00"/>
    <numFmt numFmtId="165" formatCode="0.0"/>
    <numFmt numFmtId="166" formatCode="0.0000"/>
    <numFmt numFmtId="167" formatCode="0.000"/>
    <numFmt numFmtId="168" formatCode="0.0%"/>
  </numFmts>
  <fonts count="18" x14ac:knownFonts="1">
    <font>
      <sz val="10"/>
      <name val="Arial"/>
    </font>
    <font>
      <b/>
      <sz val="12"/>
      <name val="Arial"/>
      <family val="2"/>
    </font>
    <font>
      <sz val="10"/>
      <name val="Arial"/>
      <family val="2"/>
    </font>
    <font>
      <sz val="9"/>
      <name val="Arial"/>
      <family val="2"/>
    </font>
    <font>
      <sz val="12"/>
      <name val="Times New Roman"/>
      <family val="1"/>
    </font>
    <font>
      <sz val="10"/>
      <name val="Symbol"/>
      <family val="1"/>
      <charset val="2"/>
    </font>
    <font>
      <sz val="8"/>
      <name val="Arial"/>
      <family val="2"/>
    </font>
    <font>
      <vertAlign val="superscript"/>
      <sz val="10"/>
      <name val="Arial"/>
      <family val="2"/>
    </font>
    <font>
      <vertAlign val="superscript"/>
      <sz val="8"/>
      <name val="Arial"/>
      <family val="2"/>
    </font>
    <font>
      <b/>
      <i/>
      <sz val="10"/>
      <name val="Arial"/>
      <family val="2"/>
    </font>
    <font>
      <sz val="16"/>
      <name val="Arial"/>
      <family val="2"/>
    </font>
    <font>
      <sz val="11"/>
      <name val="Arial"/>
      <family val="2"/>
    </font>
    <font>
      <sz val="11"/>
      <name val="Symbol"/>
      <family val="1"/>
      <charset val="2"/>
    </font>
    <font>
      <i/>
      <sz val="10"/>
      <name val="Arial"/>
      <family val="2"/>
    </font>
    <font>
      <b/>
      <sz val="9"/>
      <name val="Arial"/>
      <family val="2"/>
    </font>
    <font>
      <i/>
      <sz val="10"/>
      <name val="Symbol"/>
      <family val="1"/>
      <charset val="2"/>
    </font>
    <font>
      <i/>
      <sz val="9"/>
      <name val="Arial"/>
      <family val="2"/>
    </font>
    <font>
      <sz val="11"/>
      <color theme="1"/>
      <name val="Calibri"/>
      <family val="2"/>
      <scheme val="minor"/>
    </font>
  </fonts>
  <fills count="11">
    <fill>
      <patternFill patternType="none"/>
    </fill>
    <fill>
      <patternFill patternType="gray125"/>
    </fill>
    <fill>
      <patternFill patternType="solid">
        <fgColor indexed="22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indexed="41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1" tint="0.34998626667073579"/>
        <bgColor indexed="64"/>
      </patternFill>
    </fill>
    <fill>
      <patternFill patternType="solid">
        <fgColor rgb="FFCCFFFF"/>
        <bgColor indexed="64"/>
      </patternFill>
    </fill>
    <fill>
      <patternFill patternType="solid">
        <fgColor rgb="FFFFFF99"/>
        <bgColor indexed="64"/>
      </patternFill>
    </fill>
  </fills>
  <borders count="103">
    <border>
      <left/>
      <right/>
      <top/>
      <bottom/>
      <diagonal/>
    </border>
    <border>
      <left style="medium">
        <color indexed="64"/>
      </left>
      <right/>
      <top/>
      <bottom/>
      <diagonal/>
    </border>
    <border>
      <left style="thin">
        <color indexed="64"/>
      </left>
      <right style="thin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hair">
        <color indexed="64"/>
      </top>
      <bottom style="hair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hair">
        <color indexed="64"/>
      </top>
      <bottom style="hair">
        <color indexed="64"/>
      </bottom>
      <diagonal/>
    </border>
    <border>
      <left/>
      <right style="thin">
        <color indexed="64"/>
      </right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medium">
        <color indexed="64"/>
      </left>
      <right style="thin">
        <color indexed="64"/>
      </right>
      <top style="hair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hair">
        <color indexed="64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hair">
        <color indexed="64"/>
      </bottom>
      <diagonal/>
    </border>
    <border>
      <left style="thin">
        <color indexed="64"/>
      </left>
      <right style="thin">
        <color indexed="64"/>
      </right>
      <top/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hair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/>
      <bottom style="hair">
        <color indexed="64"/>
      </bottom>
      <diagonal/>
    </border>
    <border>
      <left/>
      <right style="medium">
        <color indexed="64"/>
      </right>
      <top style="hair">
        <color indexed="64"/>
      </top>
      <bottom style="hair">
        <color indexed="64"/>
      </bottom>
      <diagonal/>
    </border>
    <border>
      <left/>
      <right style="medium">
        <color indexed="64"/>
      </right>
      <top style="hair">
        <color indexed="64"/>
      </top>
      <bottom style="medium">
        <color indexed="64"/>
      </bottom>
      <diagonal/>
    </border>
    <border>
      <left style="hair">
        <color indexed="64"/>
      </left>
      <right style="hair">
        <color indexed="64"/>
      </right>
      <top/>
      <bottom style="hair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medium">
        <color indexed="64"/>
      </bottom>
      <diagonal/>
    </border>
    <border>
      <left style="hair">
        <color indexed="64"/>
      </left>
      <right/>
      <top style="thin">
        <color indexed="64"/>
      </top>
      <bottom style="hair">
        <color indexed="64"/>
      </bottom>
      <diagonal/>
    </border>
    <border>
      <left style="hair">
        <color indexed="64"/>
      </left>
      <right/>
      <top style="hair">
        <color indexed="64"/>
      </top>
      <bottom style="hair">
        <color indexed="64"/>
      </bottom>
      <diagonal/>
    </border>
    <border>
      <left style="hair">
        <color indexed="64"/>
      </left>
      <right/>
      <top style="hair">
        <color indexed="64"/>
      </top>
      <bottom style="medium">
        <color indexed="64"/>
      </bottom>
      <diagonal/>
    </border>
    <border>
      <left/>
      <right/>
      <top style="hair">
        <color indexed="64"/>
      </top>
      <bottom style="hair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hair">
        <color indexed="64"/>
      </top>
      <bottom style="hair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hair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hair">
        <color indexed="64"/>
      </bottom>
      <diagonal/>
    </border>
    <border>
      <left style="thin">
        <color indexed="64"/>
      </left>
      <right style="medium">
        <color indexed="64"/>
      </right>
      <top style="hair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hair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 style="thin">
        <color indexed="64"/>
      </right>
      <top/>
      <bottom style="hair">
        <color indexed="64"/>
      </bottom>
      <diagonal/>
    </border>
    <border>
      <left style="hair">
        <color indexed="64"/>
      </left>
      <right style="thin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thin">
        <color indexed="64"/>
      </right>
      <top style="hair">
        <color indexed="64"/>
      </top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hair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hair">
        <color indexed="64"/>
      </bottom>
      <diagonal/>
    </border>
    <border>
      <left/>
      <right/>
      <top style="thin">
        <color indexed="64"/>
      </top>
      <bottom style="hair">
        <color indexed="64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hair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hair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hair">
        <color indexed="64"/>
      </top>
      <bottom style="hair">
        <color indexed="64"/>
      </bottom>
      <diagonal/>
    </border>
    <border>
      <left style="thin">
        <color indexed="64"/>
      </left>
      <right/>
      <top style="hair">
        <color indexed="64"/>
      </top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 style="hair">
        <color indexed="64"/>
      </right>
      <top/>
      <bottom style="hair">
        <color indexed="64"/>
      </bottom>
      <diagonal/>
    </border>
    <border>
      <left style="thin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 style="hair">
        <color indexed="64"/>
      </right>
      <top style="hair">
        <color indexed="64"/>
      </top>
      <bottom style="medium">
        <color indexed="64"/>
      </bottom>
      <diagonal/>
    </border>
    <border>
      <left style="thin">
        <color indexed="64"/>
      </left>
      <right style="hair">
        <color indexed="64"/>
      </right>
      <top/>
      <bottom style="thin">
        <color indexed="64"/>
      </bottom>
      <diagonal/>
    </border>
    <border>
      <left style="hair">
        <color indexed="64"/>
      </left>
      <right style="hair">
        <color indexed="64"/>
      </right>
      <top/>
      <bottom style="thin">
        <color indexed="64"/>
      </bottom>
      <diagonal/>
    </border>
    <border>
      <left style="hair">
        <color indexed="64"/>
      </left>
      <right style="thin">
        <color indexed="64"/>
      </right>
      <top/>
      <bottom style="thin">
        <color indexed="64"/>
      </bottom>
      <diagonal/>
    </border>
    <border>
      <left style="hair">
        <color indexed="64"/>
      </left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hair">
        <color indexed="64"/>
      </right>
      <top/>
      <bottom/>
      <diagonal/>
    </border>
    <border>
      <left style="hair">
        <color indexed="64"/>
      </left>
      <right style="hair">
        <color indexed="64"/>
      </right>
      <top/>
      <bottom/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/>
      <bottom/>
      <diagonal/>
    </border>
    <border>
      <left style="thin">
        <color indexed="64"/>
      </left>
      <right/>
      <top style="medium">
        <color indexed="64"/>
      </top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medium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/>
      <top style="thin">
        <color indexed="64"/>
      </top>
      <bottom style="hair">
        <color indexed="64"/>
      </bottom>
      <diagonal/>
    </border>
  </borders>
  <cellStyleXfs count="2">
    <xf numFmtId="0" fontId="0" fillId="0" borderId="0"/>
    <xf numFmtId="0" fontId="17" fillId="0" borderId="0"/>
  </cellStyleXfs>
  <cellXfs count="309">
    <xf numFmtId="0" fontId="0" fillId="0" borderId="0" xfId="0"/>
    <xf numFmtId="0" fontId="0" fillId="2" borderId="0" xfId="0" applyFill="1"/>
    <xf numFmtId="0" fontId="0" fillId="3" borderId="1" xfId="0" applyFill="1" applyBorder="1"/>
    <xf numFmtId="0" fontId="0" fillId="3" borderId="0" xfId="0" applyFill="1"/>
    <xf numFmtId="0" fontId="0" fillId="3" borderId="0" xfId="0" applyFill="1" applyAlignment="1">
      <alignment horizontal="left"/>
    </xf>
    <xf numFmtId="0" fontId="0" fillId="3" borderId="0" xfId="0" applyFill="1" applyAlignment="1">
      <alignment horizontal="right"/>
    </xf>
    <xf numFmtId="0" fontId="0" fillId="3" borderId="2" xfId="0" applyFill="1" applyBorder="1" applyAlignment="1">
      <alignment horizontal="center"/>
    </xf>
    <xf numFmtId="0" fontId="0" fillId="3" borderId="3" xfId="0" applyFill="1" applyBorder="1" applyAlignment="1">
      <alignment horizontal="center"/>
    </xf>
    <xf numFmtId="0" fontId="0" fillId="3" borderId="4" xfId="0" applyFill="1" applyBorder="1"/>
    <xf numFmtId="0" fontId="0" fillId="3" borderId="5" xfId="0" applyFill="1" applyBorder="1" applyAlignment="1">
      <alignment horizontal="center"/>
    </xf>
    <xf numFmtId="0" fontId="0" fillId="3" borderId="6" xfId="0" applyFill="1" applyBorder="1"/>
    <xf numFmtId="0" fontId="0" fillId="3" borderId="7" xfId="0" applyFill="1" applyBorder="1"/>
    <xf numFmtId="0" fontId="0" fillId="3" borderId="8" xfId="0" applyFill="1" applyBorder="1"/>
    <xf numFmtId="0" fontId="0" fillId="3" borderId="9" xfId="0" applyFill="1" applyBorder="1" applyAlignment="1">
      <alignment horizontal="center"/>
    </xf>
    <xf numFmtId="0" fontId="0" fillId="3" borderId="10" xfId="0" applyFill="1" applyBorder="1" applyAlignment="1">
      <alignment horizontal="center"/>
    </xf>
    <xf numFmtId="0" fontId="0" fillId="3" borderId="11" xfId="0" applyFill="1" applyBorder="1"/>
    <xf numFmtId="0" fontId="4" fillId="3" borderId="11" xfId="0" applyFont="1" applyFill="1" applyBorder="1" applyAlignment="1">
      <alignment horizontal="center" wrapText="1"/>
    </xf>
    <xf numFmtId="0" fontId="0" fillId="3" borderId="12" xfId="0" applyFill="1" applyBorder="1" applyAlignment="1">
      <alignment horizontal="center"/>
    </xf>
    <xf numFmtId="0" fontId="0" fillId="2" borderId="0" xfId="0" applyFill="1" applyAlignment="1">
      <alignment horizontal="center"/>
    </xf>
    <xf numFmtId="0" fontId="2" fillId="3" borderId="13" xfId="0" applyFont="1" applyFill="1" applyBorder="1" applyAlignment="1">
      <alignment horizontal="center" wrapText="1"/>
    </xf>
    <xf numFmtId="0" fontId="2" fillId="3" borderId="14" xfId="0" applyFont="1" applyFill="1" applyBorder="1" applyAlignment="1">
      <alignment horizontal="center" wrapText="1"/>
    </xf>
    <xf numFmtId="0" fontId="2" fillId="3" borderId="15" xfId="0" applyFont="1" applyFill="1" applyBorder="1" applyAlignment="1">
      <alignment horizontal="center" wrapText="1"/>
    </xf>
    <xf numFmtId="0" fontId="0" fillId="2" borderId="16" xfId="0" applyFill="1" applyBorder="1"/>
    <xf numFmtId="0" fontId="0" fillId="2" borderId="17" xfId="0" applyFill="1" applyBorder="1"/>
    <xf numFmtId="0" fontId="0" fillId="2" borderId="5" xfId="0" applyFill="1" applyBorder="1"/>
    <xf numFmtId="0" fontId="0" fillId="2" borderId="2" xfId="0" applyFill="1" applyBorder="1"/>
    <xf numFmtId="0" fontId="0" fillId="2" borderId="10" xfId="0" applyFill="1" applyBorder="1"/>
    <xf numFmtId="0" fontId="0" fillId="2" borderId="18" xfId="0" applyFill="1" applyBorder="1"/>
    <xf numFmtId="0" fontId="0" fillId="2" borderId="19" xfId="0" applyFill="1" applyBorder="1" applyAlignment="1">
      <alignment horizontal="center" vertical="center"/>
    </xf>
    <xf numFmtId="166" fontId="0" fillId="2" borderId="2" xfId="0" applyNumberFormat="1" applyFill="1" applyBorder="1"/>
    <xf numFmtId="0" fontId="0" fillId="2" borderId="20" xfId="0" applyFill="1" applyBorder="1" applyAlignment="1">
      <alignment horizontal="center"/>
    </xf>
    <xf numFmtId="0" fontId="0" fillId="2" borderId="21" xfId="0" applyFill="1" applyBorder="1"/>
    <xf numFmtId="0" fontId="0" fillId="2" borderId="22" xfId="0" applyFill="1" applyBorder="1"/>
    <xf numFmtId="0" fontId="0" fillId="2" borderId="23" xfId="0" applyFill="1" applyBorder="1"/>
    <xf numFmtId="164" fontId="2" fillId="3" borderId="24" xfId="0" applyNumberFormat="1" applyFont="1" applyFill="1" applyBorder="1" applyAlignment="1">
      <alignment horizontal="center"/>
    </xf>
    <xf numFmtId="164" fontId="2" fillId="3" borderId="25" xfId="0" applyNumberFormat="1" applyFont="1" applyFill="1" applyBorder="1" applyAlignment="1">
      <alignment horizontal="center"/>
    </xf>
    <xf numFmtId="164" fontId="2" fillId="3" borderId="26" xfId="0" applyNumberFormat="1" applyFont="1" applyFill="1" applyBorder="1" applyAlignment="1">
      <alignment horizontal="center"/>
    </xf>
    <xf numFmtId="2" fontId="2" fillId="4" borderId="27" xfId="0" applyNumberFormat="1" applyFont="1" applyFill="1" applyBorder="1" applyAlignment="1" applyProtection="1">
      <alignment horizontal="center"/>
      <protection locked="0"/>
    </xf>
    <xf numFmtId="2" fontId="2" fillId="4" borderId="28" xfId="0" applyNumberFormat="1" applyFont="1" applyFill="1" applyBorder="1" applyAlignment="1" applyProtection="1">
      <alignment horizontal="center"/>
      <protection locked="0"/>
    </xf>
    <xf numFmtId="2" fontId="2" fillId="4" borderId="29" xfId="0" applyNumberFormat="1" applyFont="1" applyFill="1" applyBorder="1" applyAlignment="1" applyProtection="1">
      <alignment horizontal="center"/>
      <protection locked="0"/>
    </xf>
    <xf numFmtId="0" fontId="3" fillId="4" borderId="30" xfId="0" applyFont="1" applyFill="1" applyBorder="1" applyAlignment="1" applyProtection="1">
      <alignment wrapText="1"/>
      <protection locked="0"/>
    </xf>
    <xf numFmtId="0" fontId="3" fillId="4" borderId="4" xfId="0" applyFont="1" applyFill="1" applyBorder="1" applyAlignment="1" applyProtection="1">
      <alignment wrapText="1"/>
      <protection locked="0"/>
    </xf>
    <xf numFmtId="0" fontId="0" fillId="4" borderId="1" xfId="0" applyFill="1" applyBorder="1"/>
    <xf numFmtId="0" fontId="0" fillId="4" borderId="0" xfId="0" applyFill="1"/>
    <xf numFmtId="0" fontId="0" fillId="4" borderId="1" xfId="0" applyFill="1" applyBorder="1" applyAlignment="1">
      <alignment horizontal="right"/>
    </xf>
    <xf numFmtId="0" fontId="0" fillId="4" borderId="0" xfId="0" applyFill="1" applyAlignment="1">
      <alignment horizontal="left"/>
    </xf>
    <xf numFmtId="0" fontId="0" fillId="4" borderId="31" xfId="0" applyFill="1" applyBorder="1" applyAlignment="1">
      <alignment horizontal="right"/>
    </xf>
    <xf numFmtId="0" fontId="0" fillId="4" borderId="4" xfId="0" applyFill="1" applyBorder="1" applyAlignment="1">
      <alignment horizontal="left"/>
    </xf>
    <xf numFmtId="0" fontId="0" fillId="4" borderId="4" xfId="0" applyFill="1" applyBorder="1"/>
    <xf numFmtId="0" fontId="0" fillId="6" borderId="32" xfId="0" applyFill="1" applyBorder="1"/>
    <xf numFmtId="0" fontId="0" fillId="6" borderId="33" xfId="0" applyFill="1" applyBorder="1"/>
    <xf numFmtId="0" fontId="0" fillId="6" borderId="34" xfId="0" applyFill="1" applyBorder="1"/>
    <xf numFmtId="0" fontId="0" fillId="6" borderId="9" xfId="0" applyFill="1" applyBorder="1"/>
    <xf numFmtId="0" fontId="0" fillId="6" borderId="35" xfId="0" applyFill="1" applyBorder="1"/>
    <xf numFmtId="0" fontId="0" fillId="6" borderId="1" xfId="0" applyFill="1" applyBorder="1"/>
    <xf numFmtId="0" fontId="0" fillId="6" borderId="0" xfId="0" applyFill="1"/>
    <xf numFmtId="0" fontId="0" fillId="6" borderId="5" xfId="0" applyFill="1" applyBorder="1"/>
    <xf numFmtId="0" fontId="0" fillId="6" borderId="9" xfId="0" applyFill="1" applyBorder="1" applyAlignment="1">
      <alignment horizontal="left"/>
    </xf>
    <xf numFmtId="0" fontId="0" fillId="6" borderId="35" xfId="0" applyFill="1" applyBorder="1" applyAlignment="1">
      <alignment horizontal="left"/>
    </xf>
    <xf numFmtId="0" fontId="0" fillId="6" borderId="0" xfId="0" applyFill="1" applyAlignment="1">
      <alignment horizontal="left"/>
    </xf>
    <xf numFmtId="0" fontId="0" fillId="6" borderId="10" xfId="0" applyFill="1" applyBorder="1"/>
    <xf numFmtId="0" fontId="0" fillId="6" borderId="16" xfId="0" applyFill="1" applyBorder="1"/>
    <xf numFmtId="0" fontId="0" fillId="6" borderId="36" xfId="0" applyFill="1" applyBorder="1"/>
    <xf numFmtId="0" fontId="0" fillId="6" borderId="37" xfId="0" applyFill="1" applyBorder="1"/>
    <xf numFmtId="0" fontId="0" fillId="6" borderId="38" xfId="0" applyFill="1" applyBorder="1"/>
    <xf numFmtId="0" fontId="2" fillId="2" borderId="19" xfId="0" applyFont="1" applyFill="1" applyBorder="1" applyAlignment="1">
      <alignment horizontal="center" vertical="center"/>
    </xf>
    <xf numFmtId="0" fontId="0" fillId="2" borderId="39" xfId="0" applyFill="1" applyBorder="1"/>
    <xf numFmtId="0" fontId="0" fillId="3" borderId="36" xfId="0" applyFill="1" applyBorder="1" applyAlignment="1">
      <alignment horizontal="center" vertical="center"/>
    </xf>
    <xf numFmtId="0" fontId="3" fillId="3" borderId="37" xfId="0" applyFont="1" applyFill="1" applyBorder="1" applyAlignment="1">
      <alignment horizontal="center" vertical="center" wrapText="1"/>
    </xf>
    <xf numFmtId="0" fontId="0" fillId="3" borderId="40" xfId="0" applyFill="1" applyBorder="1" applyAlignment="1">
      <alignment horizontal="center" vertical="center"/>
    </xf>
    <xf numFmtId="0" fontId="3" fillId="3" borderId="41" xfId="0" applyFont="1" applyFill="1" applyBorder="1" applyAlignment="1">
      <alignment horizontal="center" vertical="center" wrapText="1"/>
    </xf>
    <xf numFmtId="0" fontId="0" fillId="2" borderId="42" xfId="0" applyFill="1" applyBorder="1"/>
    <xf numFmtId="0" fontId="0" fillId="6" borderId="17" xfId="0" applyFill="1" applyBorder="1" applyProtection="1">
      <protection locked="0"/>
    </xf>
    <xf numFmtId="0" fontId="0" fillId="6" borderId="43" xfId="0" applyFill="1" applyBorder="1" applyProtection="1">
      <protection locked="0"/>
    </xf>
    <xf numFmtId="0" fontId="0" fillId="6" borderId="2" xfId="0" applyFill="1" applyBorder="1" applyProtection="1">
      <protection locked="0"/>
    </xf>
    <xf numFmtId="0" fontId="0" fillId="6" borderId="39" xfId="0" applyFill="1" applyBorder="1" applyProtection="1">
      <protection locked="0"/>
    </xf>
    <xf numFmtId="0" fontId="0" fillId="6" borderId="18" xfId="0" applyFill="1" applyBorder="1" applyProtection="1">
      <protection locked="0"/>
    </xf>
    <xf numFmtId="0" fontId="0" fillId="6" borderId="44" xfId="0" applyFill="1" applyBorder="1" applyProtection="1">
      <protection locked="0"/>
    </xf>
    <xf numFmtId="0" fontId="0" fillId="0" borderId="45" xfId="0" applyBorder="1" applyAlignment="1">
      <alignment horizontal="center"/>
    </xf>
    <xf numFmtId="0" fontId="0" fillId="0" borderId="46" xfId="0" applyBorder="1" applyAlignment="1">
      <alignment horizontal="center"/>
    </xf>
    <xf numFmtId="0" fontId="0" fillId="0" borderId="47" xfId="0" applyBorder="1" applyAlignment="1">
      <alignment horizontal="center" wrapText="1"/>
    </xf>
    <xf numFmtId="0" fontId="0" fillId="6" borderId="0" xfId="0" applyFill="1" applyAlignment="1">
      <alignment horizontal="center"/>
    </xf>
    <xf numFmtId="0" fontId="2" fillId="3" borderId="48" xfId="0" applyFont="1" applyFill="1" applyBorder="1" applyAlignment="1">
      <alignment horizontal="center" wrapText="1"/>
    </xf>
    <xf numFmtId="0" fontId="5" fillId="3" borderId="49" xfId="0" applyFont="1" applyFill="1" applyBorder="1" applyAlignment="1">
      <alignment horizontal="center" wrapText="1"/>
    </xf>
    <xf numFmtId="165" fontId="2" fillId="3" borderId="50" xfId="0" applyNumberFormat="1" applyFont="1" applyFill="1" applyBorder="1" applyAlignment="1">
      <alignment horizontal="center"/>
    </xf>
    <xf numFmtId="165" fontId="2" fillId="3" borderId="51" xfId="0" applyNumberFormat="1" applyFont="1" applyFill="1" applyBorder="1" applyAlignment="1">
      <alignment horizontal="center"/>
    </xf>
    <xf numFmtId="165" fontId="2" fillId="3" borderId="52" xfId="0" applyNumberFormat="1" applyFont="1" applyFill="1" applyBorder="1" applyAlignment="1">
      <alignment horizontal="center"/>
    </xf>
    <xf numFmtId="0" fontId="6" fillId="6" borderId="53" xfId="0" applyFont="1" applyFill="1" applyBorder="1"/>
    <xf numFmtId="0" fontId="0" fillId="6" borderId="53" xfId="0" applyFill="1" applyBorder="1"/>
    <xf numFmtId="0" fontId="11" fillId="2" borderId="0" xfId="0" applyFont="1" applyFill="1" applyAlignment="1">
      <alignment horizontal="center"/>
    </xf>
    <xf numFmtId="0" fontId="12" fillId="2" borderId="0" xfId="0" applyFont="1" applyFill="1" applyAlignment="1">
      <alignment horizontal="center"/>
    </xf>
    <xf numFmtId="167" fontId="17" fillId="7" borderId="45" xfId="1" applyNumberFormat="1" applyFill="1" applyBorder="1" applyProtection="1">
      <protection locked="0"/>
    </xf>
    <xf numFmtId="167" fontId="17" fillId="7" borderId="54" xfId="1" applyNumberFormat="1" applyFill="1" applyBorder="1" applyProtection="1">
      <protection locked="0"/>
    </xf>
    <xf numFmtId="167" fontId="17" fillId="7" borderId="36" xfId="1" applyNumberFormat="1" applyFill="1" applyBorder="1" applyProtection="1">
      <protection locked="0"/>
    </xf>
    <xf numFmtId="167" fontId="17" fillId="7" borderId="38" xfId="1" applyNumberFormat="1" applyFill="1" applyBorder="1" applyProtection="1">
      <protection locked="0"/>
    </xf>
    <xf numFmtId="167" fontId="17" fillId="7" borderId="40" xfId="1" applyNumberFormat="1" applyFill="1" applyBorder="1" applyProtection="1">
      <protection locked="0"/>
    </xf>
    <xf numFmtId="167" fontId="17" fillId="7" borderId="55" xfId="1" applyNumberFormat="1" applyFill="1" applyBorder="1" applyProtection="1">
      <protection locked="0"/>
    </xf>
    <xf numFmtId="0" fontId="2" fillId="7" borderId="56" xfId="0" applyFont="1" applyFill="1" applyBorder="1"/>
    <xf numFmtId="0" fontId="0" fillId="7" borderId="57" xfId="0" applyFill="1" applyBorder="1"/>
    <xf numFmtId="0" fontId="0" fillId="7" borderId="58" xfId="0" applyFill="1" applyBorder="1" applyAlignment="1">
      <alignment horizontal="center"/>
    </xf>
    <xf numFmtId="0" fontId="2" fillId="7" borderId="10" xfId="0" applyFont="1" applyFill="1" applyBorder="1"/>
    <xf numFmtId="0" fontId="0" fillId="7" borderId="18" xfId="0" applyFill="1" applyBorder="1"/>
    <xf numFmtId="0" fontId="0" fillId="7" borderId="44" xfId="0" applyFill="1" applyBorder="1" applyAlignment="1">
      <alignment horizontal="center"/>
    </xf>
    <xf numFmtId="0" fontId="0" fillId="7" borderId="0" xfId="0" applyFill="1"/>
    <xf numFmtId="0" fontId="3" fillId="3" borderId="12" xfId="0" applyFont="1" applyFill="1" applyBorder="1" applyAlignment="1">
      <alignment horizontal="center" wrapText="1"/>
    </xf>
    <xf numFmtId="0" fontId="3" fillId="3" borderId="2" xfId="0" applyFont="1" applyFill="1" applyBorder="1" applyAlignment="1">
      <alignment horizontal="center" wrapText="1"/>
    </xf>
    <xf numFmtId="0" fontId="3" fillId="3" borderId="3" xfId="0" applyFont="1" applyFill="1" applyBorder="1" applyAlignment="1">
      <alignment horizontal="center" wrapText="1"/>
    </xf>
    <xf numFmtId="165" fontId="2" fillId="4" borderId="59" xfId="0" applyNumberFormat="1" applyFont="1" applyFill="1" applyBorder="1" applyAlignment="1" applyProtection="1">
      <alignment horizontal="center"/>
      <protection locked="0"/>
    </xf>
    <xf numFmtId="165" fontId="2" fillId="4" borderId="27" xfId="0" applyNumberFormat="1" applyFont="1" applyFill="1" applyBorder="1" applyAlignment="1" applyProtection="1">
      <alignment horizontal="center"/>
      <protection locked="0"/>
    </xf>
    <xf numFmtId="165" fontId="2" fillId="4" borderId="28" xfId="0" applyNumberFormat="1" applyFont="1" applyFill="1" applyBorder="1" applyAlignment="1" applyProtection="1">
      <alignment horizontal="center"/>
      <protection locked="0"/>
    </xf>
    <xf numFmtId="165" fontId="2" fillId="4" borderId="29" xfId="0" applyNumberFormat="1" applyFont="1" applyFill="1" applyBorder="1" applyAlignment="1" applyProtection="1">
      <alignment horizontal="center"/>
      <protection locked="0"/>
    </xf>
    <xf numFmtId="2" fontId="2" fillId="4" borderId="60" xfId="0" applyNumberFormat="1" applyFont="1" applyFill="1" applyBorder="1" applyAlignment="1" applyProtection="1">
      <alignment horizontal="center"/>
      <protection locked="0"/>
    </xf>
    <xf numFmtId="2" fontId="2" fillId="4" borderId="25" xfId="0" applyNumberFormat="1" applyFont="1" applyFill="1" applyBorder="1" applyAlignment="1" applyProtection="1">
      <alignment horizontal="center"/>
      <protection locked="0"/>
    </xf>
    <xf numFmtId="2" fontId="2" fillId="4" borderId="26" xfId="0" applyNumberFormat="1" applyFont="1" applyFill="1" applyBorder="1" applyAlignment="1" applyProtection="1">
      <alignment horizontal="center"/>
      <protection locked="0"/>
    </xf>
    <xf numFmtId="0" fontId="0" fillId="6" borderId="11" xfId="0" applyFill="1" applyBorder="1"/>
    <xf numFmtId="165" fontId="3" fillId="6" borderId="11" xfId="0" applyNumberFormat="1" applyFont="1" applyFill="1" applyBorder="1" applyAlignment="1">
      <alignment vertical="top" wrapText="1"/>
    </xf>
    <xf numFmtId="0" fontId="3" fillId="6" borderId="11" xfId="0" applyFont="1" applyFill="1" applyBorder="1" applyAlignment="1">
      <alignment vertical="center" wrapText="1"/>
    </xf>
    <xf numFmtId="0" fontId="0" fillId="8" borderId="1" xfId="0" applyFill="1" applyBorder="1"/>
    <xf numFmtId="0" fontId="0" fillId="8" borderId="0" xfId="0" applyFill="1"/>
    <xf numFmtId="0" fontId="0" fillId="8" borderId="0" xfId="0" applyFill="1" applyAlignment="1">
      <alignment horizontal="center"/>
    </xf>
    <xf numFmtId="0" fontId="0" fillId="8" borderId="34" xfId="0" applyFill="1" applyBorder="1" applyAlignment="1">
      <alignment horizontal="center"/>
    </xf>
    <xf numFmtId="0" fontId="0" fillId="8" borderId="31" xfId="0" applyFill="1" applyBorder="1"/>
    <xf numFmtId="0" fontId="0" fillId="8" borderId="4" xfId="0" applyFill="1" applyBorder="1"/>
    <xf numFmtId="0" fontId="0" fillId="8" borderId="4" xfId="0" applyFill="1" applyBorder="1" applyAlignment="1">
      <alignment horizontal="center"/>
    </xf>
    <xf numFmtId="0" fontId="0" fillId="8" borderId="61" xfId="0" applyFill="1" applyBorder="1" applyAlignment="1">
      <alignment horizontal="center"/>
    </xf>
    <xf numFmtId="0" fontId="3" fillId="3" borderId="62" xfId="0" applyFont="1" applyFill="1" applyBorder="1" applyAlignment="1">
      <alignment horizontal="center" vertical="center" wrapText="1"/>
    </xf>
    <xf numFmtId="0" fontId="0" fillId="3" borderId="34" xfId="0" applyFill="1" applyBorder="1"/>
    <xf numFmtId="165" fontId="2" fillId="4" borderId="63" xfId="0" applyNumberFormat="1" applyFont="1" applyFill="1" applyBorder="1" applyAlignment="1" applyProtection="1">
      <alignment horizontal="center"/>
      <protection locked="0"/>
    </xf>
    <xf numFmtId="165" fontId="2" fillId="4" borderId="64" xfId="0" applyNumberFormat="1" applyFont="1" applyFill="1" applyBorder="1" applyAlignment="1" applyProtection="1">
      <alignment horizontal="center"/>
      <protection locked="0"/>
    </xf>
    <xf numFmtId="0" fontId="2" fillId="2" borderId="0" xfId="0" applyFont="1" applyFill="1"/>
    <xf numFmtId="0" fontId="3" fillId="9" borderId="53" xfId="0" applyFont="1" applyFill="1" applyBorder="1" applyAlignment="1">
      <alignment vertical="center" wrapText="1"/>
    </xf>
    <xf numFmtId="0" fontId="3" fillId="9" borderId="0" xfId="0" applyFont="1" applyFill="1" applyAlignment="1">
      <alignment vertical="center" wrapText="1"/>
    </xf>
    <xf numFmtId="0" fontId="3" fillId="9" borderId="4" xfId="0" applyFont="1" applyFill="1" applyBorder="1" applyAlignment="1">
      <alignment vertical="center" wrapText="1"/>
    </xf>
    <xf numFmtId="0" fontId="3" fillId="9" borderId="65" xfId="0" applyFont="1" applyFill="1" applyBorder="1" applyAlignment="1">
      <alignment vertical="center" wrapText="1"/>
    </xf>
    <xf numFmtId="0" fontId="3" fillId="9" borderId="66" xfId="0" applyFont="1" applyFill="1" applyBorder="1" applyAlignment="1">
      <alignment vertical="center" wrapText="1"/>
    </xf>
    <xf numFmtId="0" fontId="3" fillId="9" borderId="8" xfId="0" applyFont="1" applyFill="1" applyBorder="1" applyAlignment="1">
      <alignment vertical="center" wrapText="1"/>
    </xf>
    <xf numFmtId="0" fontId="0" fillId="4" borderId="32" xfId="0" applyFill="1" applyBorder="1"/>
    <xf numFmtId="0" fontId="0" fillId="4" borderId="53" xfId="0" applyFill="1" applyBorder="1"/>
    <xf numFmtId="2" fontId="2" fillId="4" borderId="21" xfId="0" applyNumberFormat="1" applyFont="1" applyFill="1" applyBorder="1" applyAlignment="1">
      <alignment horizontal="center"/>
    </xf>
    <xf numFmtId="2" fontId="2" fillId="4" borderId="22" xfId="0" applyNumberFormat="1" applyFont="1" applyFill="1" applyBorder="1" applyAlignment="1">
      <alignment horizontal="center"/>
    </xf>
    <xf numFmtId="2" fontId="2" fillId="4" borderId="23" xfId="0" applyNumberFormat="1" applyFont="1" applyFill="1" applyBorder="1" applyAlignment="1">
      <alignment horizontal="center"/>
    </xf>
    <xf numFmtId="165" fontId="2" fillId="9" borderId="67" xfId="0" applyNumberFormat="1" applyFont="1" applyFill="1" applyBorder="1" applyAlignment="1" applyProtection="1">
      <alignment horizontal="center"/>
      <protection locked="0"/>
    </xf>
    <xf numFmtId="165" fontId="2" fillId="9" borderId="24" xfId="0" applyNumberFormat="1" applyFont="1" applyFill="1" applyBorder="1" applyAlignment="1" applyProtection="1">
      <alignment horizontal="center"/>
      <protection locked="0"/>
    </xf>
    <xf numFmtId="165" fontId="2" fillId="9" borderId="68" xfId="0" applyNumberFormat="1" applyFont="1" applyFill="1" applyBorder="1" applyAlignment="1" applyProtection="1">
      <alignment horizontal="center"/>
      <protection locked="0"/>
    </xf>
    <xf numFmtId="165" fontId="2" fillId="9" borderId="25" xfId="0" applyNumberFormat="1" applyFont="1" applyFill="1" applyBorder="1" applyAlignment="1" applyProtection="1">
      <alignment horizontal="center"/>
      <protection locked="0"/>
    </xf>
    <xf numFmtId="165" fontId="2" fillId="9" borderId="69" xfId="0" applyNumberFormat="1" applyFont="1" applyFill="1" applyBorder="1" applyAlignment="1" applyProtection="1">
      <alignment horizontal="center"/>
      <protection locked="0"/>
    </xf>
    <xf numFmtId="165" fontId="2" fillId="9" borderId="26" xfId="0" applyNumberFormat="1" applyFont="1" applyFill="1" applyBorder="1" applyAlignment="1" applyProtection="1">
      <alignment horizontal="center"/>
      <protection locked="0"/>
    </xf>
    <xf numFmtId="0" fontId="2" fillId="3" borderId="70" xfId="0" applyFont="1" applyFill="1" applyBorder="1" applyAlignment="1">
      <alignment horizontal="center" vertical="center" wrapText="1"/>
    </xf>
    <xf numFmtId="0" fontId="2" fillId="3" borderId="71" xfId="0" applyFont="1" applyFill="1" applyBorder="1" applyAlignment="1">
      <alignment horizontal="center" vertical="center" wrapText="1"/>
    </xf>
    <xf numFmtId="0" fontId="2" fillId="3" borderId="72" xfId="0" applyFont="1" applyFill="1" applyBorder="1" applyAlignment="1">
      <alignment horizontal="center" wrapText="1"/>
    </xf>
    <xf numFmtId="167" fontId="2" fillId="4" borderId="73" xfId="0" applyNumberFormat="1" applyFont="1" applyFill="1" applyBorder="1" applyAlignment="1" applyProtection="1">
      <alignment horizontal="center"/>
      <protection locked="0"/>
    </xf>
    <xf numFmtId="167" fontId="2" fillId="4" borderId="51" xfId="0" applyNumberFormat="1" applyFont="1" applyFill="1" applyBorder="1" applyAlignment="1" applyProtection="1">
      <alignment horizontal="center"/>
      <protection locked="0"/>
    </xf>
    <xf numFmtId="167" fontId="2" fillId="4" borderId="52" xfId="0" applyNumberFormat="1" applyFont="1" applyFill="1" applyBorder="1" applyAlignment="1" applyProtection="1">
      <alignment horizontal="center"/>
      <protection locked="0"/>
    </xf>
    <xf numFmtId="0" fontId="3" fillId="9" borderId="37" xfId="0" applyFont="1" applyFill="1" applyBorder="1" applyAlignment="1" applyProtection="1">
      <alignment horizontal="center" vertical="center" wrapText="1"/>
      <protection locked="0"/>
    </xf>
    <xf numFmtId="0" fontId="3" fillId="9" borderId="37" xfId="0" applyFont="1" applyFill="1" applyBorder="1" applyAlignment="1" applyProtection="1">
      <alignment vertical="center" wrapText="1"/>
      <protection locked="0"/>
    </xf>
    <xf numFmtId="0" fontId="3" fillId="9" borderId="41" xfId="0" applyFont="1" applyFill="1" applyBorder="1" applyAlignment="1" applyProtection="1">
      <alignment horizontal="center" vertical="center" wrapText="1"/>
      <protection locked="0"/>
    </xf>
    <xf numFmtId="0" fontId="3" fillId="9" borderId="41" xfId="0" applyFont="1" applyFill="1" applyBorder="1" applyAlignment="1" applyProtection="1">
      <alignment vertical="center" wrapText="1"/>
      <protection locked="0"/>
    </xf>
    <xf numFmtId="0" fontId="2" fillId="3" borderId="74" xfId="0" applyFont="1" applyFill="1" applyBorder="1" applyAlignment="1">
      <alignment horizontal="center" vertical="center" wrapText="1"/>
    </xf>
    <xf numFmtId="2" fontId="2" fillId="9" borderId="75" xfId="0" applyNumberFormat="1" applyFont="1" applyFill="1" applyBorder="1" applyAlignment="1" applyProtection="1">
      <alignment horizontal="center" vertical="center" wrapText="1"/>
      <protection locked="0"/>
    </xf>
    <xf numFmtId="2" fontId="2" fillId="9" borderId="76" xfId="0" applyNumberFormat="1" applyFont="1" applyFill="1" applyBorder="1" applyAlignment="1" applyProtection="1">
      <alignment horizontal="center" vertical="center" wrapText="1"/>
      <protection locked="0"/>
    </xf>
    <xf numFmtId="10" fontId="2" fillId="3" borderId="75" xfId="0" applyNumberFormat="1" applyFont="1" applyFill="1" applyBorder="1" applyAlignment="1">
      <alignment horizontal="center" vertical="center" wrapText="1"/>
    </xf>
    <xf numFmtId="165" fontId="2" fillId="3" borderId="75" xfId="0" applyNumberFormat="1" applyFont="1" applyFill="1" applyBorder="1" applyAlignment="1">
      <alignment horizontal="center" vertical="center" wrapText="1"/>
    </xf>
    <xf numFmtId="0" fontId="2" fillId="3" borderId="75" xfId="0" applyFont="1" applyFill="1" applyBorder="1" applyAlignment="1">
      <alignment horizontal="center" vertical="center" wrapText="1"/>
    </xf>
    <xf numFmtId="2" fontId="2" fillId="3" borderId="75" xfId="0" applyNumberFormat="1" applyFont="1" applyFill="1" applyBorder="1" applyAlignment="1">
      <alignment horizontal="center" vertical="center" wrapText="1"/>
    </xf>
    <xf numFmtId="10" fontId="2" fillId="6" borderId="75" xfId="0" applyNumberFormat="1" applyFont="1" applyFill="1" applyBorder="1" applyAlignment="1">
      <alignment horizontal="center" vertical="center" wrapText="1"/>
    </xf>
    <xf numFmtId="165" fontId="2" fillId="6" borderId="75" xfId="0" applyNumberFormat="1" applyFont="1" applyFill="1" applyBorder="1" applyAlignment="1">
      <alignment horizontal="center" vertical="center" wrapText="1"/>
    </xf>
    <xf numFmtId="0" fontId="2" fillId="6" borderId="75" xfId="0" applyFont="1" applyFill="1" applyBorder="1" applyAlignment="1">
      <alignment horizontal="center" vertical="center" wrapText="1"/>
    </xf>
    <xf numFmtId="2" fontId="2" fillId="6" borderId="75" xfId="0" applyNumberFormat="1" applyFont="1" applyFill="1" applyBorder="1" applyAlignment="1">
      <alignment horizontal="center" vertical="center" wrapText="1"/>
    </xf>
    <xf numFmtId="10" fontId="2" fillId="6" borderId="76" xfId="0" applyNumberFormat="1" applyFont="1" applyFill="1" applyBorder="1" applyAlignment="1">
      <alignment horizontal="center" vertical="center" wrapText="1"/>
    </xf>
    <xf numFmtId="165" fontId="2" fillId="6" borderId="76" xfId="0" applyNumberFormat="1" applyFont="1" applyFill="1" applyBorder="1" applyAlignment="1">
      <alignment horizontal="center" vertical="center" wrapText="1"/>
    </xf>
    <xf numFmtId="0" fontId="2" fillId="6" borderId="76" xfId="0" applyFont="1" applyFill="1" applyBorder="1" applyAlignment="1">
      <alignment horizontal="center" vertical="center" wrapText="1"/>
    </xf>
    <xf numFmtId="2" fontId="2" fillId="6" borderId="76" xfId="0" applyNumberFormat="1" applyFont="1" applyFill="1" applyBorder="1" applyAlignment="1">
      <alignment horizontal="center" vertical="center" wrapText="1"/>
    </xf>
    <xf numFmtId="168" fontId="2" fillId="3" borderId="38" xfId="0" applyNumberFormat="1" applyFont="1" applyFill="1" applyBorder="1" applyAlignment="1">
      <alignment horizontal="center" vertical="center" wrapText="1"/>
    </xf>
    <xf numFmtId="168" fontId="2" fillId="6" borderId="38" xfId="0" applyNumberFormat="1" applyFont="1" applyFill="1" applyBorder="1" applyAlignment="1">
      <alignment horizontal="center" vertical="center" wrapText="1"/>
    </xf>
    <xf numFmtId="168" fontId="2" fillId="6" borderId="55" xfId="0" applyNumberFormat="1" applyFont="1" applyFill="1" applyBorder="1" applyAlignment="1">
      <alignment horizontal="center" vertical="center" wrapText="1"/>
    </xf>
    <xf numFmtId="0" fontId="0" fillId="6" borderId="31" xfId="0" applyFill="1" applyBorder="1"/>
    <xf numFmtId="0" fontId="0" fillId="6" borderId="4" xfId="0" applyFill="1" applyBorder="1"/>
    <xf numFmtId="0" fontId="0" fillId="6" borderId="61" xfId="0" applyFill="1" applyBorder="1"/>
    <xf numFmtId="2" fontId="2" fillId="3" borderId="77" xfId="0" applyNumberFormat="1" applyFont="1" applyFill="1" applyBorder="1" applyAlignment="1">
      <alignment horizontal="center"/>
    </xf>
    <xf numFmtId="2" fontId="2" fillId="3" borderId="68" xfId="0" applyNumberFormat="1" applyFont="1" applyFill="1" applyBorder="1" applyAlignment="1">
      <alignment horizontal="center"/>
    </xf>
    <xf numFmtId="2" fontId="2" fillId="3" borderId="69" xfId="0" applyNumberFormat="1" applyFont="1" applyFill="1" applyBorder="1" applyAlignment="1">
      <alignment horizontal="center"/>
    </xf>
    <xf numFmtId="2" fontId="2" fillId="3" borderId="78" xfId="0" applyNumberFormat="1" applyFont="1" applyFill="1" applyBorder="1" applyAlignment="1">
      <alignment horizontal="center"/>
    </xf>
    <xf numFmtId="2" fontId="2" fillId="3" borderId="25" xfId="0" applyNumberFormat="1" applyFont="1" applyFill="1" applyBorder="1" applyAlignment="1">
      <alignment horizontal="center"/>
    </xf>
    <xf numFmtId="2" fontId="2" fillId="3" borderId="26" xfId="0" applyNumberFormat="1" applyFont="1" applyFill="1" applyBorder="1" applyAlignment="1">
      <alignment horizontal="center"/>
    </xf>
    <xf numFmtId="165" fontId="2" fillId="3" borderId="78" xfId="0" applyNumberFormat="1" applyFont="1" applyFill="1" applyBorder="1" applyAlignment="1">
      <alignment horizontal="center"/>
    </xf>
    <xf numFmtId="165" fontId="2" fillId="3" borderId="25" xfId="0" applyNumberFormat="1" applyFont="1" applyFill="1" applyBorder="1" applyAlignment="1">
      <alignment horizontal="center"/>
    </xf>
    <xf numFmtId="165" fontId="2" fillId="3" borderId="26" xfId="0" applyNumberFormat="1" applyFont="1" applyFill="1" applyBorder="1" applyAlignment="1">
      <alignment horizontal="center"/>
    </xf>
    <xf numFmtId="0" fontId="9" fillId="4" borderId="1" xfId="0" applyFont="1" applyFill="1" applyBorder="1" applyAlignment="1" applyProtection="1">
      <alignment horizontal="center"/>
      <protection locked="0"/>
    </xf>
    <xf numFmtId="0" fontId="9" fillId="4" borderId="0" xfId="0" applyFont="1" applyFill="1" applyAlignment="1" applyProtection="1">
      <alignment horizontal="center"/>
      <protection locked="0"/>
    </xf>
    <xf numFmtId="0" fontId="9" fillId="4" borderId="34" xfId="0" applyFont="1" applyFill="1" applyBorder="1" applyAlignment="1" applyProtection="1">
      <alignment horizontal="center"/>
      <protection locked="0"/>
    </xf>
    <xf numFmtId="0" fontId="2" fillId="3" borderId="79" xfId="0" applyFont="1" applyFill="1" applyBorder="1" applyAlignment="1">
      <alignment horizontal="center" vertical="center"/>
    </xf>
    <xf numFmtId="0" fontId="2" fillId="3" borderId="80" xfId="0" applyFont="1" applyFill="1" applyBorder="1" applyAlignment="1">
      <alignment horizontal="center" vertical="center"/>
    </xf>
    <xf numFmtId="0" fontId="2" fillId="3" borderId="47" xfId="0" applyFont="1" applyFill="1" applyBorder="1" applyAlignment="1">
      <alignment horizontal="center" vertical="center"/>
    </xf>
    <xf numFmtId="0" fontId="1" fillId="3" borderId="32" xfId="0" applyFont="1" applyFill="1" applyBorder="1" applyAlignment="1">
      <alignment horizontal="center" vertical="center"/>
    </xf>
    <xf numFmtId="0" fontId="1" fillId="3" borderId="53" xfId="0" applyFont="1" applyFill="1" applyBorder="1" applyAlignment="1">
      <alignment horizontal="center" vertical="center"/>
    </xf>
    <xf numFmtId="0" fontId="1" fillId="3" borderId="33" xfId="0" applyFont="1" applyFill="1" applyBorder="1" applyAlignment="1">
      <alignment horizontal="center" vertical="center"/>
    </xf>
    <xf numFmtId="0" fontId="3" fillId="10" borderId="53" xfId="0" applyFont="1" applyFill="1" applyBorder="1" applyAlignment="1">
      <alignment horizontal="center" vertical="center" wrapText="1"/>
    </xf>
    <xf numFmtId="0" fontId="3" fillId="5" borderId="33" xfId="0" applyFont="1" applyFill="1" applyBorder="1" applyAlignment="1">
      <alignment horizontal="center" vertical="center" wrapText="1"/>
    </xf>
    <xf numFmtId="0" fontId="3" fillId="10" borderId="0" xfId="0" applyFont="1" applyFill="1" applyAlignment="1">
      <alignment horizontal="center" vertical="center" wrapText="1"/>
    </xf>
    <xf numFmtId="0" fontId="3" fillId="5" borderId="34" xfId="0" applyFont="1" applyFill="1" applyBorder="1" applyAlignment="1">
      <alignment horizontal="center" vertical="center" wrapText="1"/>
    </xf>
    <xf numFmtId="0" fontId="3" fillId="10" borderId="4" xfId="0" applyFont="1" applyFill="1" applyBorder="1" applyAlignment="1">
      <alignment horizontal="center" vertical="center" wrapText="1"/>
    </xf>
    <xf numFmtId="0" fontId="3" fillId="5" borderId="61" xfId="0" applyFont="1" applyFill="1" applyBorder="1" applyAlignment="1">
      <alignment horizontal="center" vertical="center" wrapText="1"/>
    </xf>
    <xf numFmtId="0" fontId="2" fillId="3" borderId="82" xfId="0" applyFont="1" applyFill="1" applyBorder="1" applyAlignment="1">
      <alignment horizontal="center" vertical="center" wrapText="1"/>
    </xf>
    <xf numFmtId="0" fontId="2" fillId="3" borderId="83" xfId="0" applyFont="1" applyFill="1" applyBorder="1" applyAlignment="1">
      <alignment horizontal="center" vertical="center" wrapText="1"/>
    </xf>
    <xf numFmtId="0" fontId="2" fillId="3" borderId="84" xfId="0" applyFont="1" applyFill="1" applyBorder="1" applyAlignment="1">
      <alignment horizontal="center" vertical="center" wrapText="1"/>
    </xf>
    <xf numFmtId="0" fontId="0" fillId="3" borderId="85" xfId="0" applyFill="1" applyBorder="1" applyAlignment="1">
      <alignment horizontal="center" wrapText="1"/>
    </xf>
    <xf numFmtId="0" fontId="0" fillId="3" borderId="86" xfId="0" applyFill="1" applyBorder="1" applyAlignment="1">
      <alignment horizontal="center" wrapText="1"/>
    </xf>
    <xf numFmtId="165" fontId="3" fillId="10" borderId="32" xfId="0" applyNumberFormat="1" applyFont="1" applyFill="1" applyBorder="1" applyAlignment="1">
      <alignment horizontal="left" vertical="top" wrapText="1"/>
    </xf>
    <xf numFmtId="165" fontId="3" fillId="10" borderId="53" xfId="0" applyNumberFormat="1" applyFont="1" applyFill="1" applyBorder="1" applyAlignment="1">
      <alignment horizontal="left" vertical="top" wrapText="1"/>
    </xf>
    <xf numFmtId="165" fontId="3" fillId="10" borderId="1" xfId="0" applyNumberFormat="1" applyFont="1" applyFill="1" applyBorder="1" applyAlignment="1">
      <alignment horizontal="left" vertical="top" wrapText="1"/>
    </xf>
    <xf numFmtId="165" fontId="3" fillId="10" borderId="0" xfId="0" applyNumberFormat="1" applyFont="1" applyFill="1" applyAlignment="1">
      <alignment horizontal="left" vertical="top" wrapText="1"/>
    </xf>
    <xf numFmtId="165" fontId="3" fillId="10" borderId="31" xfId="0" applyNumberFormat="1" applyFont="1" applyFill="1" applyBorder="1" applyAlignment="1">
      <alignment horizontal="left" vertical="top" wrapText="1"/>
    </xf>
    <xf numFmtId="165" fontId="3" fillId="10" borderId="4" xfId="0" applyNumberFormat="1" applyFont="1" applyFill="1" applyBorder="1" applyAlignment="1">
      <alignment horizontal="left" vertical="top" wrapText="1"/>
    </xf>
    <xf numFmtId="0" fontId="0" fillId="3" borderId="65" xfId="0" applyFill="1" applyBorder="1" applyAlignment="1">
      <alignment horizontal="center" wrapText="1"/>
    </xf>
    <xf numFmtId="0" fontId="0" fillId="3" borderId="87" xfId="0" applyFill="1" applyBorder="1" applyAlignment="1">
      <alignment horizontal="center" wrapText="1"/>
    </xf>
    <xf numFmtId="0" fontId="2" fillId="6" borderId="1" xfId="0" applyFont="1" applyFill="1" applyBorder="1" applyAlignment="1">
      <alignment horizontal="center" wrapText="1"/>
    </xf>
    <xf numFmtId="0" fontId="0" fillId="0" borderId="53" xfId="0" applyBorder="1"/>
    <xf numFmtId="0" fontId="0" fillId="0" borderId="34" xfId="0" applyBorder="1"/>
    <xf numFmtId="0" fontId="0" fillId="0" borderId="1" xfId="0" applyBorder="1"/>
    <xf numFmtId="0" fontId="0" fillId="0" borderId="0" xfId="0"/>
    <xf numFmtId="0" fontId="0" fillId="0" borderId="31" xfId="0" applyBorder="1"/>
    <xf numFmtId="0" fontId="0" fillId="0" borderId="4" xfId="0" applyBorder="1"/>
    <xf numFmtId="0" fontId="0" fillId="0" borderId="61" xfId="0" applyBorder="1"/>
    <xf numFmtId="0" fontId="0" fillId="3" borderId="88" xfId="0" applyFill="1" applyBorder="1" applyAlignment="1">
      <alignment horizontal="center"/>
    </xf>
    <xf numFmtId="0" fontId="0" fillId="3" borderId="74" xfId="0" applyFill="1" applyBorder="1" applyAlignment="1">
      <alignment horizontal="center"/>
    </xf>
    <xf numFmtId="0" fontId="0" fillId="3" borderId="88" xfId="0" applyFill="1" applyBorder="1" applyAlignment="1">
      <alignment horizontal="center" wrapText="1"/>
    </xf>
    <xf numFmtId="0" fontId="0" fillId="3" borderId="74" xfId="0" applyFill="1" applyBorder="1" applyAlignment="1">
      <alignment horizontal="center" wrapText="1"/>
    </xf>
    <xf numFmtId="167" fontId="3" fillId="4" borderId="89" xfId="0" applyNumberFormat="1" applyFont="1" applyFill="1" applyBorder="1" applyAlignment="1" applyProtection="1">
      <alignment horizontal="center" vertical="center"/>
      <protection locked="0"/>
    </xf>
    <xf numFmtId="167" fontId="3" fillId="4" borderId="90" xfId="0" applyNumberFormat="1" applyFont="1" applyFill="1" applyBorder="1" applyAlignment="1" applyProtection="1">
      <alignment horizontal="center" vertical="center"/>
      <protection locked="0"/>
    </xf>
    <xf numFmtId="0" fontId="3" fillId="2" borderId="91" xfId="0" applyFont="1" applyFill="1" applyBorder="1" applyAlignment="1">
      <alignment horizontal="center" vertical="center" wrapText="1"/>
    </xf>
    <xf numFmtId="0" fontId="3" fillId="2" borderId="65" xfId="0" applyFont="1" applyFill="1" applyBorder="1" applyAlignment="1">
      <alignment horizontal="center" vertical="center" wrapText="1"/>
    </xf>
    <xf numFmtId="0" fontId="3" fillId="2" borderId="92" xfId="0" applyFont="1" applyFill="1" applyBorder="1" applyAlignment="1">
      <alignment horizontal="center" vertical="center" wrapText="1"/>
    </xf>
    <xf numFmtId="0" fontId="3" fillId="2" borderId="66" xfId="0" applyFont="1" applyFill="1" applyBorder="1" applyAlignment="1">
      <alignment horizontal="center" vertical="center" wrapText="1"/>
    </xf>
    <xf numFmtId="0" fontId="3" fillId="10" borderId="32" xfId="0" applyFont="1" applyFill="1" applyBorder="1" applyAlignment="1">
      <alignment horizontal="left" vertical="center" wrapText="1"/>
    </xf>
    <xf numFmtId="0" fontId="3" fillId="10" borderId="53" xfId="0" applyFont="1" applyFill="1" applyBorder="1" applyAlignment="1">
      <alignment horizontal="left" vertical="center" wrapText="1"/>
    </xf>
    <xf numFmtId="0" fontId="3" fillId="10" borderId="65" xfId="0" applyFont="1" applyFill="1" applyBorder="1" applyAlignment="1">
      <alignment horizontal="left" vertical="center" wrapText="1"/>
    </xf>
    <xf numFmtId="0" fontId="3" fillId="10" borderId="1" xfId="0" applyFont="1" applyFill="1" applyBorder="1" applyAlignment="1">
      <alignment horizontal="left" vertical="center" wrapText="1"/>
    </xf>
    <xf numFmtId="0" fontId="3" fillId="10" borderId="0" xfId="0" applyFont="1" applyFill="1" applyAlignment="1">
      <alignment horizontal="left" vertical="center" wrapText="1"/>
    </xf>
    <xf numFmtId="0" fontId="3" fillId="10" borderId="66" xfId="0" applyFont="1" applyFill="1" applyBorder="1" applyAlignment="1">
      <alignment horizontal="left" vertical="center" wrapText="1"/>
    </xf>
    <xf numFmtId="0" fontId="3" fillId="10" borderId="31" xfId="0" applyFont="1" applyFill="1" applyBorder="1" applyAlignment="1">
      <alignment horizontal="left" vertical="center" wrapText="1"/>
    </xf>
    <xf numFmtId="0" fontId="3" fillId="10" borderId="4" xfId="0" applyFont="1" applyFill="1" applyBorder="1" applyAlignment="1">
      <alignment horizontal="left" vertical="center" wrapText="1"/>
    </xf>
    <xf numFmtId="0" fontId="3" fillId="10" borderId="8" xfId="0" applyFont="1" applyFill="1" applyBorder="1" applyAlignment="1">
      <alignment horizontal="left" vertical="center" wrapText="1"/>
    </xf>
    <xf numFmtId="167" fontId="3" fillId="8" borderId="93" xfId="0" applyNumberFormat="1" applyFont="1" applyFill="1" applyBorder="1" applyAlignment="1" applyProtection="1">
      <alignment horizontal="left"/>
      <protection locked="0"/>
    </xf>
    <xf numFmtId="167" fontId="3" fillId="8" borderId="94" xfId="0" applyNumberFormat="1" applyFont="1" applyFill="1" applyBorder="1" applyAlignment="1" applyProtection="1">
      <alignment horizontal="left"/>
      <protection locked="0"/>
    </xf>
    <xf numFmtId="167" fontId="3" fillId="8" borderId="95" xfId="0" applyNumberFormat="1" applyFont="1" applyFill="1" applyBorder="1" applyAlignment="1" applyProtection="1">
      <alignment horizontal="left"/>
      <protection locked="0"/>
    </xf>
    <xf numFmtId="167" fontId="3" fillId="8" borderId="92" xfId="0" applyNumberFormat="1" applyFont="1" applyFill="1" applyBorder="1" applyAlignment="1" applyProtection="1">
      <alignment horizontal="left"/>
      <protection locked="0"/>
    </xf>
    <xf numFmtId="167" fontId="3" fillId="8" borderId="0" xfId="0" applyNumberFormat="1" applyFont="1" applyFill="1" applyAlignment="1" applyProtection="1">
      <alignment horizontal="left"/>
      <protection locked="0"/>
    </xf>
    <xf numFmtId="167" fontId="3" fillId="8" borderId="34" xfId="0" applyNumberFormat="1" applyFont="1" applyFill="1" applyBorder="1" applyAlignment="1" applyProtection="1">
      <alignment horizontal="left"/>
      <protection locked="0"/>
    </xf>
    <xf numFmtId="167" fontId="3" fillId="8" borderId="96" xfId="0" applyNumberFormat="1" applyFont="1" applyFill="1" applyBorder="1" applyAlignment="1" applyProtection="1">
      <alignment horizontal="left"/>
      <protection locked="0"/>
    </xf>
    <xf numFmtId="167" fontId="3" fillId="8" borderId="4" xfId="0" applyNumberFormat="1" applyFont="1" applyFill="1" applyBorder="1" applyAlignment="1" applyProtection="1">
      <alignment horizontal="left"/>
      <protection locked="0"/>
    </xf>
    <xf numFmtId="167" fontId="3" fillId="8" borderId="61" xfId="0" applyNumberFormat="1" applyFont="1" applyFill="1" applyBorder="1" applyAlignment="1" applyProtection="1">
      <alignment horizontal="left"/>
      <protection locked="0"/>
    </xf>
    <xf numFmtId="0" fontId="0" fillId="3" borderId="80" xfId="0" applyFill="1" applyBorder="1" applyAlignment="1">
      <alignment horizontal="center" vertical="center"/>
    </xf>
    <xf numFmtId="0" fontId="0" fillId="3" borderId="81" xfId="0" applyFill="1" applyBorder="1" applyAlignment="1">
      <alignment horizontal="center" vertical="center"/>
    </xf>
    <xf numFmtId="0" fontId="2" fillId="3" borderId="79" xfId="0" applyFont="1" applyFill="1" applyBorder="1" applyAlignment="1">
      <alignment horizontal="center" vertical="center" wrapText="1"/>
    </xf>
    <xf numFmtId="0" fontId="2" fillId="3" borderId="80" xfId="0" applyFont="1" applyFill="1" applyBorder="1" applyAlignment="1">
      <alignment horizontal="center" vertical="center" wrapText="1"/>
    </xf>
    <xf numFmtId="0" fontId="2" fillId="3" borderId="81" xfId="0" applyFont="1" applyFill="1" applyBorder="1" applyAlignment="1">
      <alignment horizontal="center" vertical="center" wrapText="1"/>
    </xf>
    <xf numFmtId="0" fontId="2" fillId="3" borderId="88" xfId="0" applyFont="1" applyFill="1" applyBorder="1" applyAlignment="1">
      <alignment horizontal="center" vertical="top" wrapText="1"/>
    </xf>
    <xf numFmtId="0" fontId="2" fillId="3" borderId="74" xfId="0" applyFont="1" applyFill="1" applyBorder="1" applyAlignment="1">
      <alignment horizontal="center" vertical="top" wrapText="1"/>
    </xf>
    <xf numFmtId="0" fontId="2" fillId="3" borderId="89" xfId="0" applyFont="1" applyFill="1" applyBorder="1" applyAlignment="1">
      <alignment horizontal="center" vertical="top" wrapText="1"/>
    </xf>
    <xf numFmtId="0" fontId="2" fillId="3" borderId="97" xfId="0" applyFont="1" applyFill="1" applyBorder="1" applyAlignment="1">
      <alignment horizontal="center" vertical="top" wrapText="1"/>
    </xf>
    <xf numFmtId="0" fontId="2" fillId="3" borderId="79" xfId="0" applyFont="1" applyFill="1" applyBorder="1" applyAlignment="1">
      <alignment horizontal="center" wrapText="1"/>
    </xf>
    <xf numFmtId="0" fontId="2" fillId="3" borderId="80" xfId="0" applyFont="1" applyFill="1" applyBorder="1" applyAlignment="1">
      <alignment horizontal="center" wrapText="1"/>
    </xf>
    <xf numFmtId="0" fontId="2" fillId="3" borderId="81" xfId="0" applyFont="1" applyFill="1" applyBorder="1" applyAlignment="1">
      <alignment horizontal="center" wrapText="1"/>
    </xf>
    <xf numFmtId="0" fontId="10" fillId="0" borderId="4" xfId="0" applyFont="1" applyBorder="1" applyAlignment="1">
      <alignment horizontal="center"/>
    </xf>
    <xf numFmtId="0" fontId="0" fillId="3" borderId="45" xfId="0" applyFill="1" applyBorder="1" applyAlignment="1">
      <alignment horizontal="center" wrapText="1"/>
    </xf>
    <xf numFmtId="0" fontId="0" fillId="3" borderId="36" xfId="0" applyFill="1" applyBorder="1" applyAlignment="1">
      <alignment horizontal="center" wrapText="1"/>
    </xf>
    <xf numFmtId="0" fontId="0" fillId="3" borderId="46" xfId="0" applyFill="1" applyBorder="1" applyAlignment="1">
      <alignment horizontal="center"/>
    </xf>
    <xf numFmtId="0" fontId="0" fillId="3" borderId="37" xfId="0" applyFill="1" applyBorder="1" applyAlignment="1">
      <alignment horizontal="center"/>
    </xf>
    <xf numFmtId="0" fontId="2" fillId="3" borderId="46" xfId="0" applyFont="1" applyFill="1" applyBorder="1" applyAlignment="1">
      <alignment horizontal="center" wrapText="1"/>
    </xf>
    <xf numFmtId="0" fontId="0" fillId="3" borderId="37" xfId="0" applyFill="1" applyBorder="1" applyAlignment="1">
      <alignment horizontal="center" wrapText="1"/>
    </xf>
    <xf numFmtId="0" fontId="2" fillId="3" borderId="88" xfId="0" applyFont="1" applyFill="1" applyBorder="1" applyAlignment="1">
      <alignment horizontal="center" wrapText="1"/>
    </xf>
    <xf numFmtId="0" fontId="2" fillId="3" borderId="74" xfId="0" applyFont="1" applyFill="1" applyBorder="1" applyAlignment="1">
      <alignment horizontal="center" wrapText="1"/>
    </xf>
    <xf numFmtId="0" fontId="0" fillId="2" borderId="6" xfId="0" applyFill="1" applyBorder="1" applyAlignment="1">
      <alignment horizontal="left" wrapText="1"/>
    </xf>
    <xf numFmtId="0" fontId="0" fillId="2" borderId="66" xfId="0" applyFill="1" applyBorder="1" applyAlignment="1">
      <alignment horizontal="left" wrapText="1"/>
    </xf>
    <xf numFmtId="0" fontId="0" fillId="2" borderId="87" xfId="0" applyFill="1" applyBorder="1" applyAlignment="1">
      <alignment horizontal="left" wrapText="1"/>
    </xf>
    <xf numFmtId="0" fontId="0" fillId="2" borderId="12" xfId="0" applyFill="1" applyBorder="1" applyAlignment="1">
      <alignment horizontal="left" wrapText="1"/>
    </xf>
    <xf numFmtId="0" fontId="0" fillId="2" borderId="74" xfId="0" applyFill="1" applyBorder="1" applyAlignment="1">
      <alignment horizontal="left" wrapText="1"/>
    </xf>
    <xf numFmtId="0" fontId="13" fillId="2" borderId="0" xfId="0" applyFont="1" applyFill="1" applyAlignment="1">
      <alignment horizontal="center" wrapText="1"/>
    </xf>
    <xf numFmtId="0" fontId="2" fillId="7" borderId="4" xfId="0" applyFont="1" applyFill="1" applyBorder="1" applyAlignment="1">
      <alignment horizontal="center"/>
    </xf>
    <xf numFmtId="0" fontId="2" fillId="2" borderId="53" xfId="0" applyFont="1" applyFill="1" applyBorder="1" applyAlignment="1">
      <alignment horizontal="left" vertical="top" wrapText="1"/>
    </xf>
    <xf numFmtId="0" fontId="2" fillId="2" borderId="0" xfId="0" applyFont="1" applyFill="1" applyAlignment="1">
      <alignment horizontal="left" vertical="top" wrapText="1"/>
    </xf>
    <xf numFmtId="0" fontId="0" fillId="6" borderId="63" xfId="0" applyFill="1" applyBorder="1" applyAlignment="1" applyProtection="1">
      <alignment horizontal="center"/>
      <protection locked="0"/>
    </xf>
    <xf numFmtId="0" fontId="0" fillId="6" borderId="22" xfId="0" applyFill="1" applyBorder="1" applyAlignment="1" applyProtection="1">
      <alignment horizontal="center"/>
      <protection locked="0"/>
    </xf>
    <xf numFmtId="0" fontId="0" fillId="6" borderId="4" xfId="0" applyFill="1" applyBorder="1" applyAlignment="1" applyProtection="1">
      <alignment horizontal="center"/>
      <protection locked="0"/>
    </xf>
    <xf numFmtId="0" fontId="0" fillId="6" borderId="61" xfId="0" applyFill="1" applyBorder="1" applyAlignment="1" applyProtection="1">
      <alignment horizontal="center"/>
      <protection locked="0"/>
    </xf>
    <xf numFmtId="0" fontId="2" fillId="2" borderId="0" xfId="0" applyFont="1" applyFill="1" applyAlignment="1">
      <alignment horizontal="left" wrapText="1"/>
    </xf>
    <xf numFmtId="0" fontId="1" fillId="6" borderId="53" xfId="0" applyFont="1" applyFill="1" applyBorder="1" applyAlignment="1">
      <alignment horizontal="center" vertical="top"/>
    </xf>
    <xf numFmtId="0" fontId="0" fillId="6" borderId="100" xfId="0" applyFill="1" applyBorder="1" applyAlignment="1">
      <alignment horizontal="center"/>
    </xf>
    <xf numFmtId="0" fontId="0" fillId="6" borderId="80" xfId="0" applyFill="1" applyBorder="1" applyAlignment="1">
      <alignment horizontal="center"/>
    </xf>
    <xf numFmtId="0" fontId="0" fillId="6" borderId="47" xfId="0" applyFill="1" applyBorder="1" applyAlignment="1">
      <alignment horizontal="center"/>
    </xf>
    <xf numFmtId="0" fontId="0" fillId="6" borderId="59" xfId="0" applyFill="1" applyBorder="1" applyAlignment="1" applyProtection="1">
      <alignment horizontal="center"/>
      <protection locked="0"/>
    </xf>
    <xf numFmtId="0" fontId="0" fillId="6" borderId="101" xfId="0" applyFill="1" applyBorder="1" applyAlignment="1" applyProtection="1">
      <alignment horizontal="center"/>
      <protection locked="0"/>
    </xf>
    <xf numFmtId="0" fontId="0" fillId="6" borderId="102" xfId="0" applyFill="1" applyBorder="1" applyAlignment="1" applyProtection="1">
      <alignment horizontal="center"/>
      <protection locked="0"/>
    </xf>
    <xf numFmtId="0" fontId="0" fillId="6" borderId="64" xfId="0" applyFill="1" applyBorder="1" applyAlignment="1" applyProtection="1">
      <alignment horizontal="center"/>
      <protection locked="0"/>
    </xf>
    <xf numFmtId="0" fontId="0" fillId="6" borderId="23" xfId="0" applyFill="1" applyBorder="1" applyAlignment="1" applyProtection="1">
      <alignment horizontal="center"/>
      <protection locked="0"/>
    </xf>
    <xf numFmtId="0" fontId="2" fillId="6" borderId="100" xfId="0" applyFont="1" applyFill="1" applyBorder="1" applyAlignment="1">
      <alignment horizontal="center"/>
    </xf>
    <xf numFmtId="0" fontId="2" fillId="6" borderId="80" xfId="0" applyFont="1" applyFill="1" applyBorder="1" applyAlignment="1">
      <alignment horizontal="center"/>
    </xf>
    <xf numFmtId="0" fontId="2" fillId="6" borderId="47" xfId="0" applyFont="1" applyFill="1" applyBorder="1" applyAlignment="1">
      <alignment horizontal="center"/>
    </xf>
    <xf numFmtId="0" fontId="2" fillId="6" borderId="45" xfId="0" applyFont="1" applyFill="1" applyBorder="1" applyAlignment="1">
      <alignment horizontal="center"/>
    </xf>
    <xf numFmtId="0" fontId="2" fillId="6" borderId="46" xfId="0" applyFont="1" applyFill="1" applyBorder="1" applyAlignment="1">
      <alignment horizontal="center"/>
    </xf>
    <xf numFmtId="0" fontId="2" fillId="6" borderId="54" xfId="0" applyFont="1" applyFill="1" applyBorder="1" applyAlignment="1">
      <alignment horizontal="center"/>
    </xf>
    <xf numFmtId="0" fontId="2" fillId="2" borderId="12" xfId="0" applyFont="1" applyFill="1" applyBorder="1" applyAlignment="1">
      <alignment horizontal="left" wrapText="1"/>
    </xf>
    <xf numFmtId="0" fontId="2" fillId="2" borderId="98" xfId="0" applyFont="1" applyFill="1" applyBorder="1" applyAlignment="1">
      <alignment horizontal="left" wrapText="1"/>
    </xf>
    <xf numFmtId="0" fontId="2" fillId="2" borderId="86" xfId="0" applyFont="1" applyFill="1" applyBorder="1" applyAlignment="1">
      <alignment horizontal="left" wrapText="1"/>
    </xf>
    <xf numFmtId="0" fontId="2" fillId="2" borderId="1" xfId="0" applyFont="1" applyFill="1" applyBorder="1" applyAlignment="1">
      <alignment horizontal="center" wrapText="1"/>
    </xf>
    <xf numFmtId="0" fontId="2" fillId="2" borderId="99" xfId="0" applyFont="1" applyFill="1" applyBorder="1" applyAlignment="1">
      <alignment horizontal="left" wrapText="1"/>
    </xf>
    <xf numFmtId="0" fontId="0" fillId="2" borderId="98" xfId="0" applyFill="1" applyBorder="1" applyAlignment="1">
      <alignment horizontal="left" wrapText="1"/>
    </xf>
    <xf numFmtId="0" fontId="0" fillId="2" borderId="99" xfId="0" applyFill="1" applyBorder="1" applyAlignment="1">
      <alignment horizontal="left" wrapText="1"/>
    </xf>
    <xf numFmtId="0" fontId="0" fillId="2" borderId="86" xfId="0" applyFill="1" applyBorder="1" applyAlignment="1">
      <alignment horizontal="left" wrapText="1"/>
    </xf>
  </cellXfs>
  <cellStyles count="2">
    <cellStyle name="Normal" xfId="0" builtinId="0"/>
    <cellStyle name="Normal 2" xfId="1" xr:uid="{00000000-0005-0000-0000-000001000000}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hartsheet" Target="chartsheets/sheet8.xml"/><Relationship Id="rId13" Type="http://schemas.openxmlformats.org/officeDocument/2006/relationships/worksheet" Target="worksheets/sheet3.xml"/><Relationship Id="rId18" Type="http://schemas.openxmlformats.org/officeDocument/2006/relationships/styles" Target="styles.xml"/><Relationship Id="rId3" Type="http://schemas.openxmlformats.org/officeDocument/2006/relationships/chartsheet" Target="chartsheets/sheet3.xml"/><Relationship Id="rId21" Type="http://schemas.microsoft.com/office/2006/relationships/vbaProject" Target="vbaProject.bin"/><Relationship Id="rId7" Type="http://schemas.openxmlformats.org/officeDocument/2006/relationships/chartsheet" Target="chartsheets/sheet7.xml"/><Relationship Id="rId12" Type="http://schemas.openxmlformats.org/officeDocument/2006/relationships/worksheet" Target="worksheets/sheet2.xml"/><Relationship Id="rId17" Type="http://schemas.openxmlformats.org/officeDocument/2006/relationships/theme" Target="theme/theme1.xml"/><Relationship Id="rId2" Type="http://schemas.openxmlformats.org/officeDocument/2006/relationships/chartsheet" Target="chartsheets/sheet2.xml"/><Relationship Id="rId16" Type="http://schemas.openxmlformats.org/officeDocument/2006/relationships/worksheet" Target="worksheets/sheet6.xml"/><Relationship Id="rId20" Type="http://schemas.openxmlformats.org/officeDocument/2006/relationships/calcChain" Target="calcChain.xml"/><Relationship Id="rId1" Type="http://schemas.openxmlformats.org/officeDocument/2006/relationships/chartsheet" Target="chartsheets/sheet1.xml"/><Relationship Id="rId6" Type="http://schemas.openxmlformats.org/officeDocument/2006/relationships/chartsheet" Target="chartsheets/sheet6.xml"/><Relationship Id="rId11" Type="http://schemas.openxmlformats.org/officeDocument/2006/relationships/worksheet" Target="worksheets/sheet1.xml"/><Relationship Id="rId5" Type="http://schemas.openxmlformats.org/officeDocument/2006/relationships/chartsheet" Target="chartsheets/sheet5.xml"/><Relationship Id="rId15" Type="http://schemas.openxmlformats.org/officeDocument/2006/relationships/worksheet" Target="worksheets/sheet5.xml"/><Relationship Id="rId10" Type="http://schemas.openxmlformats.org/officeDocument/2006/relationships/chartsheet" Target="chartsheets/sheet10.xml"/><Relationship Id="rId19" Type="http://schemas.openxmlformats.org/officeDocument/2006/relationships/sharedStrings" Target="sharedStrings.xml"/><Relationship Id="rId4" Type="http://schemas.openxmlformats.org/officeDocument/2006/relationships/chartsheet" Target="chartsheets/sheet4.xml"/><Relationship Id="rId9" Type="http://schemas.openxmlformats.org/officeDocument/2006/relationships/chartsheet" Target="chartsheets/sheet9.xml"/><Relationship Id="rId14" Type="http://schemas.openxmlformats.org/officeDocument/2006/relationships/worksheet" Target="worksheets/sheet4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_rels/activeX9.xml.rels><?xml version="1.0" encoding="UTF-8" standalone="yes"?>
<Relationships xmlns="http://schemas.openxmlformats.org/package/2006/relationships"><Relationship Id="rId1" Type="http://schemas.microsoft.com/office/2006/relationships/activeXControlBinary" Target="activeX9.bin"/></Relationships>
</file>

<file path=xl/activeX/_rels/activeX10.xml.rels><?xml version="1.0" encoding="UTF-8" standalone="yes"?>
<Relationships xmlns="http://schemas.openxmlformats.org/package/2006/relationships"><Relationship Id="rId1" Type="http://schemas.microsoft.com/office/2006/relationships/activeXControlBinary" Target="activeX10.bin"/></Relationships>
</file>

<file path=xl/activeX/_rels/activeX11.xml.rels><?xml version="1.0" encoding="UTF-8" standalone="yes"?>
<Relationships xmlns="http://schemas.openxmlformats.org/package/2006/relationships"><Relationship Id="rId1" Type="http://schemas.microsoft.com/office/2006/relationships/activeXControlBinary" Target="activeX11.bin"/></Relationships>
</file>

<file path=xl/activeX/_rels/activeX12.xml.rels><?xml version="1.0" encoding="UTF-8" standalone="yes"?>
<Relationships xmlns="http://schemas.openxmlformats.org/package/2006/relationships"><Relationship Id="rId1" Type="http://schemas.microsoft.com/office/2006/relationships/activeXControlBinary" Target="activeX12.bin"/></Relationships>
</file>

<file path=xl/activeX/_rels/activeX13.xml.rels><?xml version="1.0" encoding="UTF-8" standalone="yes"?>
<Relationships xmlns="http://schemas.openxmlformats.org/package/2006/relationships"><Relationship Id="rId1" Type="http://schemas.microsoft.com/office/2006/relationships/activeXControlBinary" Target="activeX13.bin"/></Relationships>
</file>

<file path=xl/activeX/_rels/activeX14.xml.rels><?xml version="1.0" encoding="UTF-8" standalone="yes"?>
<Relationships xmlns="http://schemas.openxmlformats.org/package/2006/relationships"><Relationship Id="rId1" Type="http://schemas.microsoft.com/office/2006/relationships/activeXControlBinary" Target="activeX14.bin"/></Relationships>
</file>

<file path=xl/activeX/_rels/activeX15.xml.rels><?xml version="1.0" encoding="UTF-8" standalone="yes"?>
<Relationships xmlns="http://schemas.openxmlformats.org/package/2006/relationships"><Relationship Id="rId1" Type="http://schemas.microsoft.com/office/2006/relationships/activeXControlBinary" Target="activeX15.bin"/></Relationships>
</file>

<file path=xl/activeX/_rels/activeX16.xml.rels><?xml version="1.0" encoding="UTF-8" standalone="yes"?>
<Relationships xmlns="http://schemas.openxmlformats.org/package/2006/relationships"><Relationship Id="rId1" Type="http://schemas.microsoft.com/office/2006/relationships/activeXControlBinary" Target="activeX16.bin"/></Relationships>
</file>

<file path=xl/activeX/_rels/activeX17.xml.rels><?xml version="1.0" encoding="UTF-8" standalone="yes"?>
<Relationships xmlns="http://schemas.openxmlformats.org/package/2006/relationships"><Relationship Id="rId1" Type="http://schemas.microsoft.com/office/2006/relationships/activeXControlBinary" Target="activeX17.bin"/></Relationships>
</file>

<file path=xl/activeX/_rels/activeX18.xml.rels><?xml version="1.0" encoding="UTF-8" standalone="yes"?>
<Relationships xmlns="http://schemas.openxmlformats.org/package/2006/relationships"><Relationship Id="rId1" Type="http://schemas.microsoft.com/office/2006/relationships/activeXControlBinary" Target="activeX18.bin"/></Relationships>
</file>

<file path=xl/activeX/_rels/activeX19.xml.rels><?xml version="1.0" encoding="UTF-8" standalone="yes"?>
<Relationships xmlns="http://schemas.openxmlformats.org/package/2006/relationships"><Relationship Id="rId1" Type="http://schemas.microsoft.com/office/2006/relationships/activeXControlBinary" Target="activeX19.bin"/></Relationships>
</file>

<file path=xl/activeX/_rels/activeX20.xml.rels><?xml version="1.0" encoding="UTF-8" standalone="yes"?>
<Relationships xmlns="http://schemas.openxmlformats.org/package/2006/relationships"><Relationship Id="rId1" Type="http://schemas.microsoft.com/office/2006/relationships/activeXControlBinary" Target="activeX20.bin"/></Relationships>
</file>

<file path=xl/activeX/_rels/activeX21.xml.rels><?xml version="1.0" encoding="UTF-8" standalone="yes"?>
<Relationships xmlns="http://schemas.openxmlformats.org/package/2006/relationships"><Relationship Id="rId1" Type="http://schemas.microsoft.com/office/2006/relationships/activeXControlBinary" Target="activeX21.bin"/></Relationships>
</file>

<file path=xl/activeX/_rels/activeX22.xml.rels><?xml version="1.0" encoding="UTF-8" standalone="yes"?>
<Relationships xmlns="http://schemas.openxmlformats.org/package/2006/relationships"><Relationship Id="rId1" Type="http://schemas.microsoft.com/office/2006/relationships/activeXControlBinary" Target="activeX22.bin"/></Relationships>
</file>

<file path=xl/activeX/_rels/activeX23.xml.rels><?xml version="1.0" encoding="UTF-8" standalone="yes"?>
<Relationships xmlns="http://schemas.openxmlformats.org/package/2006/relationships"><Relationship Id="rId1" Type="http://schemas.microsoft.com/office/2006/relationships/activeXControlBinary" Target="activeX23.bin"/></Relationships>
</file>

<file path=xl/activeX/_rels/activeX24.xml.rels><?xml version="1.0" encoding="UTF-8" standalone="yes"?>
<Relationships xmlns="http://schemas.openxmlformats.org/package/2006/relationships"><Relationship Id="rId1" Type="http://schemas.microsoft.com/office/2006/relationships/activeXControlBinary" Target="activeX24.bin"/></Relationships>
</file>

<file path=xl/activeX/_rels/activeX25.xml.rels><?xml version="1.0" encoding="UTF-8" standalone="yes"?>
<Relationships xmlns="http://schemas.openxmlformats.org/package/2006/relationships"><Relationship Id="rId1" Type="http://schemas.microsoft.com/office/2006/relationships/activeXControlBinary" Target="activeX25.bin"/></Relationships>
</file>

<file path=xl/activeX/_rels/activeX26.xml.rels><?xml version="1.0" encoding="UTF-8" standalone="yes"?>
<Relationships xmlns="http://schemas.openxmlformats.org/package/2006/relationships"><Relationship Id="rId1" Type="http://schemas.microsoft.com/office/2006/relationships/activeXControlBinary" Target="activeX26.bin"/></Relationships>
</file>

<file path=xl/activeX/_rels/activeX27.xml.rels><?xml version="1.0" encoding="UTF-8" standalone="yes"?>
<Relationships xmlns="http://schemas.openxmlformats.org/package/2006/relationships"><Relationship Id="rId1" Type="http://schemas.microsoft.com/office/2006/relationships/activeXControlBinary" Target="activeX27.bin"/></Relationships>
</file>

<file path=xl/activeX/_rels/activeX28.xml.rels><?xml version="1.0" encoding="UTF-8" standalone="yes"?>
<Relationships xmlns="http://schemas.openxmlformats.org/package/2006/relationships"><Relationship Id="rId1" Type="http://schemas.microsoft.com/office/2006/relationships/activeXControlBinary" Target="activeX28.bin"/></Relationships>
</file>

<file path=xl/activeX/_rels/activeX29.xml.rels><?xml version="1.0" encoding="UTF-8" standalone="yes"?>
<Relationships xmlns="http://schemas.openxmlformats.org/package/2006/relationships"><Relationship Id="rId1" Type="http://schemas.microsoft.com/office/2006/relationships/activeXControlBinary" Target="activeX29.bin"/></Relationships>
</file>

<file path=xl/activeX/_rels/activeX30.xml.rels><?xml version="1.0" encoding="UTF-8" standalone="yes"?>
<Relationships xmlns="http://schemas.openxmlformats.org/package/2006/relationships"><Relationship Id="rId1" Type="http://schemas.microsoft.com/office/2006/relationships/activeXControlBinary" Target="activeX30.bin"/></Relationships>
</file>

<file path=xl/activeX/_rels/activeX31.xml.rels><?xml version="1.0" encoding="UTF-8" standalone="yes"?>
<Relationships xmlns="http://schemas.openxmlformats.org/package/2006/relationships"><Relationship Id="rId1" Type="http://schemas.microsoft.com/office/2006/relationships/activeXControlBinary" Target="activeX31.bin"/></Relationships>
</file>

<file path=xl/activeX/_rels/activeX32.xml.rels><?xml version="1.0" encoding="UTF-8" standalone="yes"?>
<Relationships xmlns="http://schemas.openxmlformats.org/package/2006/relationships"><Relationship Id="rId1" Type="http://schemas.microsoft.com/office/2006/relationships/activeXControlBinary" Target="activeX32.bin"/></Relationships>
</file>

<file path=xl/activeX/_rels/activeX33.xml.rels><?xml version="1.0" encoding="UTF-8" standalone="yes"?>
<Relationships xmlns="http://schemas.openxmlformats.org/package/2006/relationships"><Relationship Id="rId1" Type="http://schemas.microsoft.com/office/2006/relationships/activeXControlBinary" Target="activeX33.bin"/></Relationships>
</file>

<file path=xl/activeX/_rels/activeX34.xml.rels><?xml version="1.0" encoding="UTF-8" standalone="yes"?>
<Relationships xmlns="http://schemas.openxmlformats.org/package/2006/relationships"><Relationship Id="rId1" Type="http://schemas.microsoft.com/office/2006/relationships/activeXControlBinary" Target="activeX34.bin"/></Relationships>
</file>

<file path=xl/activeX/_rels/activeX35.xml.rels><?xml version="1.0" encoding="UTF-8" standalone="yes"?>
<Relationships xmlns="http://schemas.openxmlformats.org/package/2006/relationships"><Relationship Id="rId1" Type="http://schemas.microsoft.com/office/2006/relationships/activeXControlBinary" Target="activeX35.bin"/></Relationships>
</file>

<file path=xl/activeX/_rels/activeX36.xml.rels><?xml version="1.0" encoding="UTF-8" standalone="yes"?>
<Relationships xmlns="http://schemas.openxmlformats.org/package/2006/relationships"><Relationship Id="rId1" Type="http://schemas.microsoft.com/office/2006/relationships/activeXControlBinary" Target="activeX36.bin"/></Relationships>
</file>

<file path=xl/activeX/_rels/activeX37.xml.rels><?xml version="1.0" encoding="UTF-8" standalone="yes"?>
<Relationships xmlns="http://schemas.openxmlformats.org/package/2006/relationships"><Relationship Id="rId1" Type="http://schemas.microsoft.com/office/2006/relationships/activeXControlBinary" Target="activeX37.bin"/></Relationships>
</file>

<file path=xl/activeX/_rels/activeX38.xml.rels><?xml version="1.0" encoding="UTF-8" standalone="yes"?>
<Relationships xmlns="http://schemas.openxmlformats.org/package/2006/relationships"><Relationship Id="rId1" Type="http://schemas.microsoft.com/office/2006/relationships/activeXControlBinary" Target="activeX38.bin"/></Relationships>
</file>

<file path=xl/activeX/_rels/activeX39.xml.rels><?xml version="1.0" encoding="UTF-8" standalone="yes"?>
<Relationships xmlns="http://schemas.openxmlformats.org/package/2006/relationships"><Relationship Id="rId1" Type="http://schemas.microsoft.com/office/2006/relationships/activeXControlBinary" Target="activeX39.bin"/></Relationships>
</file>

<file path=xl/activeX/_rels/activeX40.xml.rels><?xml version="1.0" encoding="UTF-8" standalone="yes"?>
<Relationships xmlns="http://schemas.openxmlformats.org/package/2006/relationships"><Relationship Id="rId1" Type="http://schemas.microsoft.com/office/2006/relationships/activeXControlBinary" Target="activeX40.bin"/></Relationships>
</file>

<file path=xl/activeX/_rels/activeX41.xml.rels><?xml version="1.0" encoding="UTF-8" standalone="yes"?>
<Relationships xmlns="http://schemas.openxmlformats.org/package/2006/relationships"><Relationship Id="rId1" Type="http://schemas.microsoft.com/office/2006/relationships/activeXControlBinary" Target="activeX41.bin"/></Relationships>
</file>

<file path=xl/activeX/_rels/activeX42.xml.rels><?xml version="1.0" encoding="UTF-8" standalone="yes"?>
<Relationships xmlns="http://schemas.openxmlformats.org/package/2006/relationships"><Relationship Id="rId1" Type="http://schemas.microsoft.com/office/2006/relationships/activeXControlBinary" Target="activeX42.bin"/></Relationships>
</file>

<file path=xl/activeX/_rels/activeX43.xml.rels><?xml version="1.0" encoding="UTF-8" standalone="yes"?>
<Relationships xmlns="http://schemas.openxmlformats.org/package/2006/relationships"><Relationship Id="rId1" Type="http://schemas.microsoft.com/office/2006/relationships/activeXControlBinary" Target="activeX43.bin"/></Relationships>
</file>

<file path=xl/activeX/_rels/activeX44.xml.rels><?xml version="1.0" encoding="UTF-8" standalone="yes"?>
<Relationships xmlns="http://schemas.openxmlformats.org/package/2006/relationships"><Relationship Id="rId1" Type="http://schemas.microsoft.com/office/2006/relationships/activeXControlBinary" Target="activeX44.bin"/></Relationships>
</file>

<file path=xl/activeX/_rels/activeX45.xml.rels><?xml version="1.0" encoding="UTF-8" standalone="yes"?>
<Relationships xmlns="http://schemas.openxmlformats.org/package/2006/relationships"><Relationship Id="rId1" Type="http://schemas.microsoft.com/office/2006/relationships/activeXControlBinary" Target="activeX45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1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2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3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4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5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6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7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8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9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20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21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22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23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24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25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2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4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35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3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7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38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39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40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41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42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43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44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45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charts/_rels/chart1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2.xml"/></Relationships>
</file>

<file path=xl/charts/_rels/chart2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4.xml"/></Relationships>
</file>

<file path=xl/charts/_rels/chart3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6.xml"/></Relationships>
</file>

<file path=xl/charts/_rels/chart4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8.xml"/></Relationships>
</file>

<file path=xl/charts/_rels/chart5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10.xml"/></Relationships>
</file>

<file path=xl/charts/_rels/chart6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12.xml"/></Relationships>
</file>

<file path=xl/charts/_rels/chart7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14.xml"/></Relationships>
</file>

<file path=xl/charts/_rels/chart8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16.xml"/></Relationships>
</file>

<file path=xl/charts/_rels/chart9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18.xml"/></Relationships>
</file>

<file path=xl/charts/_rels/chart10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20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600" b="1" i="0">
                <a:latin typeface="Arial" panose="020B0604020202020204" pitchFamily="34" charset="0"/>
              </a:defRPr>
            </a:pPr>
            <a:r>
              <a:rPr lang="en-US" sz="1600" b="1" i="0">
                <a:latin typeface="Arial" panose="020B0604020202020204" pitchFamily="34" charset="0"/>
              </a:rPr>
              <a:t>Lift vs Angle of Attack (CL vs Alpha) Comparison</a:t>
            </a:r>
          </a:p>
        </c:rich>
      </c:tx>
      <c:overlay val="0"/>
    </c:title>
    <c:autoTitleDeleted val="0"/>
    <c:plotArea>
      <c:layout>
        <c:manualLayout>
          <c:xMode val="edge"/>
          <c:yMode val="edge"/>
          <c:x val="3.5229357798165141E-2"/>
          <c:y val="4.4500628567396713E-2"/>
          <c:w val="0.96477064220183484"/>
          <c:h val="0.86978501290820842"/>
        </c:manualLayout>
      </c:layout>
      <c:scatterChart>
        <c:scatterStyle val="smoothMarker"/>
        <c:varyColors val="0"/>
        <c:ser>
          <c:idx val="0"/>
          <c:order val="0"/>
          <c:tx>
            <c:v>Atail beta 0</c:v>
          </c:tx>
          <c:spPr>
            <a:ln w="12700">
              <a:solidFill>
                <a:srgbClr val="0000FF"/>
              </a:solidFill>
              <a:prstDash val="solid"/>
            </a:ln>
          </c:spPr>
          <c:marker>
            <c:symbol val="diamond"/>
            <c:size val="5"/>
            <c:spPr>
              <a:solidFill>
                <a:srgbClr val="FFFFFF"/>
              </a:solidFill>
              <a:ln>
                <a:solidFill>
                  <a:srgbClr val="0000FF"/>
                </a:solidFill>
                <a:prstDash val="solid"/>
              </a:ln>
            </c:spPr>
          </c:marker>
          <c:xVal>
            <c:numRef>
              <c:f>'Run ID 1'!$B$7:$B$15</c:f>
              <c:numCache>
                <c:formatCode>General</c:formatCode>
                <c:ptCount val="9"/>
                <c:pt idx="0">
                  <c:v>-6.0973447219854826</c:v>
                </c:pt>
                <c:pt idx="1">
                  <c:v>-4.0514228665171883</c:v>
                </c:pt>
                <c:pt idx="2">
                  <c:v>-2.0089888413816372</c:v>
                </c:pt>
                <c:pt idx="3">
                  <c:v>2.9185672770527558E-2</c:v>
                </c:pt>
                <c:pt idx="4">
                  <c:v>2.0669575823584352</c:v>
                </c:pt>
                <c:pt idx="5">
                  <c:v>4.1014555726503499</c:v>
                </c:pt>
                <c:pt idx="6">
                  <c:v>6.1283079917851397</c:v>
                </c:pt>
                <c:pt idx="7">
                  <c:v>8.1515671361806241</c:v>
                </c:pt>
                <c:pt idx="8">
                  <c:v>10.173227717429782</c:v>
                </c:pt>
              </c:numCache>
            </c:numRef>
          </c:xVal>
          <c:yVal>
            <c:numRef>
              <c:f>'Run ID 1'!$O$7:$O$15</c:f>
              <c:numCache>
                <c:formatCode>General</c:formatCode>
                <c:ptCount val="9"/>
                <c:pt idx="0">
                  <c:v>-0.19162966271568224</c:v>
                </c:pt>
                <c:pt idx="1">
                  <c:v>-0.10122938733167186</c:v>
                </c:pt>
                <c:pt idx="2">
                  <c:v>-1.7695141626936681E-2</c:v>
                </c:pt>
                <c:pt idx="3">
                  <c:v>5.7453968896028586E-2</c:v>
                </c:pt>
                <c:pt idx="4">
                  <c:v>0.131810525130659</c:v>
                </c:pt>
                <c:pt idx="5">
                  <c:v>0.19972215001561594</c:v>
                </c:pt>
                <c:pt idx="6">
                  <c:v>0.25258295147403775</c:v>
                </c:pt>
                <c:pt idx="7">
                  <c:v>0.29837014881409157</c:v>
                </c:pt>
                <c:pt idx="8">
                  <c:v>0.34101046658726275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1C08-4404-8A01-D139469BCC06}"/>
            </c:ext>
          </c:extLst>
        </c:ser>
        <c:ser>
          <c:idx val="1"/>
          <c:order val="1"/>
          <c:tx>
            <c:v>Atail beta 10</c:v>
          </c:tx>
          <c:spPr>
            <a:ln w="12700">
              <a:solidFill>
                <a:srgbClr val="FF0000"/>
              </a:solidFill>
              <a:prstDash val="solid"/>
            </a:ln>
          </c:spPr>
          <c:marker>
            <c:symbol val="square"/>
            <c:size val="5"/>
            <c:spPr>
              <a:solidFill>
                <a:srgbClr val="FFFFFF"/>
              </a:solidFill>
              <a:ln>
                <a:solidFill>
                  <a:srgbClr val="FF0000"/>
                </a:solidFill>
                <a:prstDash val="solid"/>
              </a:ln>
            </c:spPr>
          </c:marker>
          <c:xVal>
            <c:numRef>
              <c:f>'Run ID 2'!$B$7:$B$15</c:f>
              <c:numCache>
                <c:formatCode>General</c:formatCode>
                <c:ptCount val="9"/>
                <c:pt idx="0">
                  <c:v>-6.0837395545496573</c:v>
                </c:pt>
                <c:pt idx="1">
                  <c:v>-4.0409079668398666</c:v>
                </c:pt>
                <c:pt idx="2">
                  <c:v>-2.0037453505756821</c:v>
                </c:pt>
                <c:pt idx="3">
                  <c:v>2.9882941403270542E-2</c:v>
                </c:pt>
                <c:pt idx="4">
                  <c:v>2.0658151310273936</c:v>
                </c:pt>
                <c:pt idx="5">
                  <c:v>4.102892199411512</c:v>
                </c:pt>
                <c:pt idx="6">
                  <c:v>6.1375469576934263</c:v>
                </c:pt>
                <c:pt idx="7">
                  <c:v>8.1717695177911747</c:v>
                </c:pt>
                <c:pt idx="8">
                  <c:v>10.199912157306201</c:v>
                </c:pt>
              </c:numCache>
            </c:numRef>
          </c:xVal>
          <c:yVal>
            <c:numRef>
              <c:f>'Run ID 2'!$O$7:$O$15</c:f>
              <c:numCache>
                <c:formatCode>General</c:formatCode>
                <c:ptCount val="9"/>
                <c:pt idx="0">
                  <c:v>-0.16484697133045795</c:v>
                </c:pt>
                <c:pt idx="1">
                  <c:v>-8.0530096835419576E-2</c:v>
                </c:pt>
                <c:pt idx="2">
                  <c:v>-7.3729756778902842E-3</c:v>
                </c:pt>
                <c:pt idx="3">
                  <c:v>5.8826589313339846E-2</c:v>
                </c:pt>
                <c:pt idx="4">
                  <c:v>0.12956153249118929</c:v>
                </c:pt>
                <c:pt idx="5">
                  <c:v>0.20255024686642298</c:v>
                </c:pt>
                <c:pt idx="6">
                  <c:v>0.27077048013235316</c:v>
                </c:pt>
                <c:pt idx="7">
                  <c:v>0.33813990206954592</c:v>
                </c:pt>
                <c:pt idx="8">
                  <c:v>0.39354058952538579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A-1C08-4404-8A01-D139469BCC0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964061624"/>
        <c:axId val="964067024"/>
      </c:scatterChart>
      <c:valAx>
        <c:axId val="964061624"/>
        <c:scaling>
          <c:orientation val="minMax"/>
        </c:scaling>
        <c:delete val="0"/>
        <c:axPos val="b"/>
        <c:majorGridlines>
          <c:spPr>
            <a:ln w="3175">
              <a:solidFill>
                <a:srgbClr val="808080"/>
              </a:solidFill>
              <a:prstDash val="sysDash"/>
            </a:ln>
          </c:spPr>
        </c:majorGridlines>
        <c:title>
          <c:tx>
            <c:rich>
              <a:bodyPr/>
              <a:lstStyle/>
              <a:p>
                <a:pPr>
                  <a:defRPr sz="1400" b="1" i="0"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Pitch Angle of Attack, Alpha (deg)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1600"/>
            </a:pPr>
            <a:endParaRPr lang="en-US"/>
          </a:p>
        </c:txPr>
        <c:crossAx val="964067024"/>
        <c:crosses val="autoZero"/>
        <c:crossBetween val="midCat"/>
      </c:valAx>
      <c:valAx>
        <c:axId val="964067024"/>
        <c:scaling>
          <c:orientation val="minMax"/>
        </c:scaling>
        <c:delete val="0"/>
        <c:axPos val="l"/>
        <c:majorGridlines>
          <c:spPr>
            <a:ln w="3175">
              <a:solidFill>
                <a:srgbClr val="808080"/>
              </a:solidFill>
              <a:prstDash val="sysDash"/>
            </a:ln>
          </c:spPr>
        </c:majorGridlines>
        <c:title>
          <c:tx>
            <c:rich>
              <a:bodyPr/>
              <a:lstStyle/>
              <a:p>
                <a:pPr>
                  <a:defRPr sz="1400" b="1" i="0">
                    <a:latin typeface="Arial" panose="020B0604020202020204" pitchFamily="34" charset="0"/>
                  </a:defRPr>
                </a:pPr>
                <a:r>
                  <a:rPr lang="en-US" sz="1400" b="1" i="0">
                    <a:latin typeface="Arial" panose="020B0604020202020204" pitchFamily="34" charset="0"/>
                  </a:rPr>
                  <a:t>Lift Coefficient, CL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1600"/>
            </a:pPr>
            <a:endParaRPr lang="en-US"/>
          </a:p>
        </c:txPr>
        <c:crossAx val="964061624"/>
        <c:crosses val="autoZero"/>
        <c:crossBetween val="midCat"/>
      </c:valAx>
      <c:spPr>
        <a:solidFill>
          <a:srgbClr val="FFFFFF"/>
        </a:solidFill>
        <a:ln>
          <a:solidFill>
            <a:srgbClr val="000000"/>
          </a:solidFill>
          <a:prstDash val="solid"/>
        </a:ln>
      </c:spPr>
    </c:plotArea>
    <c:legend>
      <c:legendPos val="b"/>
      <c:overlay val="0"/>
      <c:txPr>
        <a:bodyPr/>
        <a:lstStyle/>
        <a:p>
          <a:pPr>
            <a:defRPr sz="1000"/>
          </a:pPr>
          <a:endParaRPr lang="en-US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userShapes r:id="rId1"/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600" b="1" i="0">
                <a:latin typeface="Arial" panose="020B0604020202020204" pitchFamily="34" charset="0"/>
              </a:defRPr>
            </a:pPr>
            <a:r>
              <a:rPr lang="en-US" sz="1600" b="1" i="0">
                <a:latin typeface="Arial" panose="020B0604020202020204" pitchFamily="34" charset="0"/>
              </a:rPr>
              <a:t>Drag vs Angle of Attack (CD vs Alpha) Comparison</a:t>
            </a:r>
          </a:p>
        </c:rich>
      </c:tx>
      <c:overlay val="0"/>
    </c:title>
    <c:autoTitleDeleted val="0"/>
    <c:plotArea>
      <c:layout>
        <c:manualLayout>
          <c:xMode val="edge"/>
          <c:yMode val="edge"/>
          <c:x val="3.5229357798165141E-2"/>
          <c:y val="4.4500628567396713E-2"/>
          <c:w val="0.96477064220183484"/>
          <c:h val="0.86978501290820842"/>
        </c:manualLayout>
      </c:layout>
      <c:scatterChart>
        <c:scatterStyle val="smoothMarker"/>
        <c:varyColors val="0"/>
        <c:ser>
          <c:idx val="0"/>
          <c:order val="0"/>
          <c:tx>
            <c:v>Atail beta 0</c:v>
          </c:tx>
          <c:spPr>
            <a:ln w="12700">
              <a:solidFill>
                <a:srgbClr val="0000FF"/>
              </a:solidFill>
              <a:prstDash val="solid"/>
            </a:ln>
          </c:spPr>
          <c:marker>
            <c:symbol val="diamond"/>
            <c:size val="5"/>
            <c:spPr>
              <a:solidFill>
                <a:srgbClr val="FFFFFF"/>
              </a:solidFill>
              <a:ln>
                <a:solidFill>
                  <a:srgbClr val="0000FF"/>
                </a:solidFill>
                <a:prstDash val="solid"/>
              </a:ln>
            </c:spPr>
          </c:marker>
          <c:xVal>
            <c:numRef>
              <c:f>'Run ID 1'!$B$7:$B$15</c:f>
              <c:numCache>
                <c:formatCode>General</c:formatCode>
                <c:ptCount val="9"/>
                <c:pt idx="0">
                  <c:v>-6.0973447219854826</c:v>
                </c:pt>
                <c:pt idx="1">
                  <c:v>-4.0514228665171883</c:v>
                </c:pt>
                <c:pt idx="2">
                  <c:v>-2.0089888413816372</c:v>
                </c:pt>
                <c:pt idx="3">
                  <c:v>2.9185672770527558E-2</c:v>
                </c:pt>
                <c:pt idx="4">
                  <c:v>2.0669575823584352</c:v>
                </c:pt>
                <c:pt idx="5">
                  <c:v>4.1014555726503499</c:v>
                </c:pt>
                <c:pt idx="6">
                  <c:v>6.1283079917851397</c:v>
                </c:pt>
                <c:pt idx="7">
                  <c:v>8.1515671361806241</c:v>
                </c:pt>
                <c:pt idx="8">
                  <c:v>10.173227717429782</c:v>
                </c:pt>
              </c:numCache>
            </c:numRef>
          </c:xVal>
          <c:yVal>
            <c:numRef>
              <c:f>'Run ID 1'!$Q$7:$Q$15</c:f>
              <c:numCache>
                <c:formatCode>General</c:formatCode>
                <c:ptCount val="9"/>
                <c:pt idx="0">
                  <c:v>3.5673586348324224E-2</c:v>
                </c:pt>
                <c:pt idx="1">
                  <c:v>2.2807334674754199E-2</c:v>
                </c:pt>
                <c:pt idx="2">
                  <c:v>1.704092107299475E-2</c:v>
                </c:pt>
                <c:pt idx="3">
                  <c:v>1.5774426457789384E-2</c:v>
                </c:pt>
                <c:pt idx="4">
                  <c:v>1.7307931842584019E-2</c:v>
                </c:pt>
                <c:pt idx="5">
                  <c:v>2.3541518240824566E-2</c:v>
                </c:pt>
                <c:pt idx="6">
                  <c:v>3.4975266567254547E-2</c:v>
                </c:pt>
                <c:pt idx="7">
                  <c:v>5.4409257539332914E-2</c:v>
                </c:pt>
                <c:pt idx="8">
                  <c:v>7.814357157889229E-2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47C6-49EA-BFFE-A9F187BE9437}"/>
            </c:ext>
          </c:extLst>
        </c:ser>
        <c:ser>
          <c:idx val="1"/>
          <c:order val="1"/>
          <c:tx>
            <c:v>Atail beta 10</c:v>
          </c:tx>
          <c:spPr>
            <a:ln w="12700">
              <a:solidFill>
                <a:srgbClr val="FF0000"/>
              </a:solidFill>
              <a:prstDash val="solid"/>
            </a:ln>
          </c:spPr>
          <c:marker>
            <c:symbol val="square"/>
            <c:size val="5"/>
            <c:spPr>
              <a:solidFill>
                <a:srgbClr val="FFFFFF"/>
              </a:solidFill>
              <a:ln>
                <a:solidFill>
                  <a:srgbClr val="FF0000"/>
                </a:solidFill>
                <a:prstDash val="solid"/>
              </a:ln>
            </c:spPr>
          </c:marker>
          <c:xVal>
            <c:numRef>
              <c:f>'Run ID 2'!$B$7:$B$15</c:f>
              <c:numCache>
                <c:formatCode>General</c:formatCode>
                <c:ptCount val="9"/>
                <c:pt idx="0">
                  <c:v>-6.0837395545496573</c:v>
                </c:pt>
                <c:pt idx="1">
                  <c:v>-4.0409079668398666</c:v>
                </c:pt>
                <c:pt idx="2">
                  <c:v>-2.0037453505756821</c:v>
                </c:pt>
                <c:pt idx="3">
                  <c:v>2.9882941403270542E-2</c:v>
                </c:pt>
                <c:pt idx="4">
                  <c:v>2.0658151310273936</c:v>
                </c:pt>
                <c:pt idx="5">
                  <c:v>4.102892199411512</c:v>
                </c:pt>
                <c:pt idx="6">
                  <c:v>6.1375469576934263</c:v>
                </c:pt>
                <c:pt idx="7">
                  <c:v>8.1717695177911747</c:v>
                </c:pt>
                <c:pt idx="8">
                  <c:v>10.199912157306201</c:v>
                </c:pt>
              </c:numCache>
            </c:numRef>
          </c:xVal>
          <c:yVal>
            <c:numRef>
              <c:f>'Run ID 2'!$Q$7:$Q$15</c:f>
              <c:numCache>
                <c:formatCode>General</c:formatCode>
                <c:ptCount val="9"/>
                <c:pt idx="0">
                  <c:v>3.1176077818541394E-2</c:v>
                </c:pt>
                <c:pt idx="1">
                  <c:v>2.0116075340408792E-2</c:v>
                </c:pt>
                <c:pt idx="2">
                  <c:v>1.5255926207978696E-2</c:v>
                </c:pt>
                <c:pt idx="3">
                  <c:v>1.4495703703703703E-2</c:v>
                </c:pt>
                <c:pt idx="4">
                  <c:v>1.6435481199428711E-2</c:v>
                </c:pt>
                <c:pt idx="5">
                  <c:v>2.2075332066998615E-2</c:v>
                </c:pt>
                <c:pt idx="6">
                  <c:v>3.1215329588866018E-2</c:v>
                </c:pt>
                <c:pt idx="7">
                  <c:v>4.4755546868807838E-2</c:v>
                </c:pt>
                <c:pt idx="8">
                  <c:v>6.5396056742859657E-2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47C6-49EA-BFFE-A9F187BE943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964070984"/>
        <c:axId val="964067744"/>
      </c:scatterChart>
      <c:valAx>
        <c:axId val="964070984"/>
        <c:scaling>
          <c:orientation val="minMax"/>
        </c:scaling>
        <c:delete val="0"/>
        <c:axPos val="b"/>
        <c:majorGridlines>
          <c:spPr>
            <a:ln w="3175">
              <a:solidFill>
                <a:srgbClr val="808080"/>
              </a:solidFill>
              <a:prstDash val="sysDash"/>
            </a:ln>
          </c:spPr>
        </c:majorGridlines>
        <c:title>
          <c:tx>
            <c:rich>
              <a:bodyPr/>
              <a:lstStyle/>
              <a:p>
                <a:pPr>
                  <a:defRPr sz="1400" b="1" i="0"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Pitch Angle of Attack, Alpha (deg)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1600"/>
            </a:pPr>
            <a:endParaRPr lang="en-US"/>
          </a:p>
        </c:txPr>
        <c:crossAx val="964067744"/>
        <c:crosses val="autoZero"/>
        <c:crossBetween val="midCat"/>
      </c:valAx>
      <c:valAx>
        <c:axId val="964067744"/>
        <c:scaling>
          <c:orientation val="minMax"/>
        </c:scaling>
        <c:delete val="0"/>
        <c:axPos val="l"/>
        <c:majorGridlines>
          <c:spPr>
            <a:ln w="3175">
              <a:solidFill>
                <a:srgbClr val="808080"/>
              </a:solidFill>
              <a:prstDash val="sysDash"/>
            </a:ln>
          </c:spPr>
        </c:majorGridlines>
        <c:title>
          <c:tx>
            <c:rich>
              <a:bodyPr/>
              <a:lstStyle/>
              <a:p>
                <a:pPr>
                  <a:defRPr sz="1400" b="1" i="0">
                    <a:latin typeface="Arial" panose="020B0604020202020204" pitchFamily="34" charset="0"/>
                  </a:defRPr>
                </a:pPr>
                <a:r>
                  <a:rPr lang="en-US" sz="1400" b="1" i="0">
                    <a:latin typeface="Arial" panose="020B0604020202020204" pitchFamily="34" charset="0"/>
                  </a:rPr>
                  <a:t>Drag Coefficient, CD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1600"/>
            </a:pPr>
            <a:endParaRPr lang="en-US"/>
          </a:p>
        </c:txPr>
        <c:crossAx val="964070984"/>
        <c:crosses val="autoZero"/>
        <c:crossBetween val="midCat"/>
      </c:valAx>
      <c:spPr>
        <a:solidFill>
          <a:srgbClr val="FFFFFF"/>
        </a:solidFill>
        <a:ln>
          <a:solidFill>
            <a:srgbClr val="000000"/>
          </a:solidFill>
          <a:prstDash val="solid"/>
        </a:ln>
      </c:spPr>
    </c:plotArea>
    <c:legend>
      <c:legendPos val="b"/>
      <c:overlay val="0"/>
      <c:txPr>
        <a:bodyPr/>
        <a:lstStyle/>
        <a:p>
          <a:pPr>
            <a:defRPr sz="1000"/>
          </a:pPr>
          <a:endParaRPr lang="en-US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userShapes r:id="rId1"/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600" b="1" i="0">
                <a:latin typeface="Arial" panose="020B0604020202020204" pitchFamily="34" charset="0"/>
              </a:defRPr>
            </a:pPr>
            <a:r>
              <a:rPr lang="en-US" sz="1600" b="1" i="0">
                <a:latin typeface="Arial" panose="020B0604020202020204" pitchFamily="34" charset="0"/>
              </a:rPr>
              <a:t>Drag vs Lift (CD vs. CL) Comparison</a:t>
            </a:r>
          </a:p>
        </c:rich>
      </c:tx>
      <c:overlay val="0"/>
    </c:title>
    <c:autoTitleDeleted val="0"/>
    <c:plotArea>
      <c:layout>
        <c:manualLayout>
          <c:xMode val="edge"/>
          <c:yMode val="edge"/>
          <c:x val="3.5229357798165141E-2"/>
          <c:y val="4.4500628567396713E-2"/>
          <c:w val="0.96477064220183484"/>
          <c:h val="0.86978501290820842"/>
        </c:manualLayout>
      </c:layout>
      <c:scatterChart>
        <c:scatterStyle val="smoothMarker"/>
        <c:varyColors val="0"/>
        <c:ser>
          <c:idx val="0"/>
          <c:order val="0"/>
          <c:tx>
            <c:v>Atail beta 0</c:v>
          </c:tx>
          <c:spPr>
            <a:ln w="12700">
              <a:solidFill>
                <a:srgbClr val="0000FF"/>
              </a:solidFill>
              <a:prstDash val="solid"/>
            </a:ln>
          </c:spPr>
          <c:marker>
            <c:symbol val="diamond"/>
            <c:size val="5"/>
            <c:spPr>
              <a:solidFill>
                <a:srgbClr val="FFFFFF"/>
              </a:solidFill>
              <a:ln>
                <a:solidFill>
                  <a:srgbClr val="0000FF"/>
                </a:solidFill>
                <a:prstDash val="solid"/>
              </a:ln>
            </c:spPr>
          </c:marker>
          <c:xVal>
            <c:numRef>
              <c:f>'Run ID 1'!$O$7:$O$15</c:f>
              <c:numCache>
                <c:formatCode>General</c:formatCode>
                <c:ptCount val="9"/>
                <c:pt idx="0">
                  <c:v>-0.19162966271568224</c:v>
                </c:pt>
                <c:pt idx="1">
                  <c:v>-0.10122938733167186</c:v>
                </c:pt>
                <c:pt idx="2">
                  <c:v>-1.7695141626936681E-2</c:v>
                </c:pt>
                <c:pt idx="3">
                  <c:v>5.7453968896028586E-2</c:v>
                </c:pt>
                <c:pt idx="4">
                  <c:v>0.131810525130659</c:v>
                </c:pt>
                <c:pt idx="5">
                  <c:v>0.19972215001561594</c:v>
                </c:pt>
                <c:pt idx="6">
                  <c:v>0.25258295147403775</c:v>
                </c:pt>
                <c:pt idx="7">
                  <c:v>0.29837014881409157</c:v>
                </c:pt>
                <c:pt idx="8">
                  <c:v>0.34101046658726275</c:v>
                </c:pt>
              </c:numCache>
            </c:numRef>
          </c:xVal>
          <c:yVal>
            <c:numRef>
              <c:f>'Run ID 1'!$Q$7:$Q$15</c:f>
              <c:numCache>
                <c:formatCode>General</c:formatCode>
                <c:ptCount val="9"/>
                <c:pt idx="0">
                  <c:v>3.5673586348324224E-2</c:v>
                </c:pt>
                <c:pt idx="1">
                  <c:v>2.2807334674754199E-2</c:v>
                </c:pt>
                <c:pt idx="2">
                  <c:v>1.704092107299475E-2</c:v>
                </c:pt>
                <c:pt idx="3">
                  <c:v>1.5774426457789384E-2</c:v>
                </c:pt>
                <c:pt idx="4">
                  <c:v>1.7307931842584019E-2</c:v>
                </c:pt>
                <c:pt idx="5">
                  <c:v>2.3541518240824566E-2</c:v>
                </c:pt>
                <c:pt idx="6">
                  <c:v>3.4975266567254547E-2</c:v>
                </c:pt>
                <c:pt idx="7">
                  <c:v>5.4409257539332914E-2</c:v>
                </c:pt>
                <c:pt idx="8">
                  <c:v>7.814357157889229E-2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FF0E-4EAB-A63F-3B887B88087E}"/>
            </c:ext>
          </c:extLst>
        </c:ser>
        <c:ser>
          <c:idx val="1"/>
          <c:order val="1"/>
          <c:tx>
            <c:v>Atail beta 10</c:v>
          </c:tx>
          <c:spPr>
            <a:ln w="12700">
              <a:solidFill>
                <a:srgbClr val="FF0000"/>
              </a:solidFill>
              <a:prstDash val="solid"/>
            </a:ln>
          </c:spPr>
          <c:marker>
            <c:symbol val="square"/>
            <c:size val="5"/>
            <c:spPr>
              <a:solidFill>
                <a:srgbClr val="FFFFFF"/>
              </a:solidFill>
              <a:ln>
                <a:solidFill>
                  <a:srgbClr val="FF0000"/>
                </a:solidFill>
                <a:prstDash val="solid"/>
              </a:ln>
            </c:spPr>
          </c:marker>
          <c:xVal>
            <c:numRef>
              <c:f>'Run ID 2'!$O$7:$O$15</c:f>
              <c:numCache>
                <c:formatCode>General</c:formatCode>
                <c:ptCount val="9"/>
                <c:pt idx="0">
                  <c:v>-0.16484697133045795</c:v>
                </c:pt>
                <c:pt idx="1">
                  <c:v>-8.0530096835419576E-2</c:v>
                </c:pt>
                <c:pt idx="2">
                  <c:v>-7.3729756778902842E-3</c:v>
                </c:pt>
                <c:pt idx="3">
                  <c:v>5.8826589313339846E-2</c:v>
                </c:pt>
                <c:pt idx="4">
                  <c:v>0.12956153249118929</c:v>
                </c:pt>
                <c:pt idx="5">
                  <c:v>0.20255024686642298</c:v>
                </c:pt>
                <c:pt idx="6">
                  <c:v>0.27077048013235316</c:v>
                </c:pt>
                <c:pt idx="7">
                  <c:v>0.33813990206954592</c:v>
                </c:pt>
                <c:pt idx="8">
                  <c:v>0.39354058952538579</c:v>
                </c:pt>
              </c:numCache>
            </c:numRef>
          </c:xVal>
          <c:yVal>
            <c:numRef>
              <c:f>'Run ID 2'!$Q$7:$Q$15</c:f>
              <c:numCache>
                <c:formatCode>General</c:formatCode>
                <c:ptCount val="9"/>
                <c:pt idx="0">
                  <c:v>3.1176077818541394E-2</c:v>
                </c:pt>
                <c:pt idx="1">
                  <c:v>2.0116075340408792E-2</c:v>
                </c:pt>
                <c:pt idx="2">
                  <c:v>1.5255926207978696E-2</c:v>
                </c:pt>
                <c:pt idx="3">
                  <c:v>1.4495703703703703E-2</c:v>
                </c:pt>
                <c:pt idx="4">
                  <c:v>1.6435481199428711E-2</c:v>
                </c:pt>
                <c:pt idx="5">
                  <c:v>2.2075332066998615E-2</c:v>
                </c:pt>
                <c:pt idx="6">
                  <c:v>3.1215329588866018E-2</c:v>
                </c:pt>
                <c:pt idx="7">
                  <c:v>4.4755546868807838E-2</c:v>
                </c:pt>
                <c:pt idx="8">
                  <c:v>6.5396056742859657E-2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FF0E-4EAB-A63F-3B887B88087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964066304"/>
        <c:axId val="964068104"/>
      </c:scatterChart>
      <c:valAx>
        <c:axId val="964066304"/>
        <c:scaling>
          <c:orientation val="minMax"/>
        </c:scaling>
        <c:delete val="0"/>
        <c:axPos val="b"/>
        <c:majorGridlines>
          <c:spPr>
            <a:ln w="3175">
              <a:solidFill>
                <a:srgbClr val="808080"/>
              </a:solidFill>
              <a:prstDash val="sysDash"/>
            </a:ln>
          </c:spPr>
        </c:majorGridlines>
        <c:title>
          <c:tx>
            <c:rich>
              <a:bodyPr/>
              <a:lstStyle/>
              <a:p>
                <a:pPr>
                  <a:defRPr sz="1400" b="1" i="0"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Lift Coefficient, CL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1600"/>
            </a:pPr>
            <a:endParaRPr lang="en-US"/>
          </a:p>
        </c:txPr>
        <c:crossAx val="964068104"/>
        <c:crosses val="autoZero"/>
        <c:crossBetween val="midCat"/>
      </c:valAx>
      <c:valAx>
        <c:axId val="964068104"/>
        <c:scaling>
          <c:orientation val="minMax"/>
        </c:scaling>
        <c:delete val="0"/>
        <c:axPos val="l"/>
        <c:majorGridlines>
          <c:spPr>
            <a:ln w="3175">
              <a:solidFill>
                <a:srgbClr val="808080"/>
              </a:solidFill>
              <a:prstDash val="sysDash"/>
            </a:ln>
          </c:spPr>
        </c:majorGridlines>
        <c:title>
          <c:tx>
            <c:rich>
              <a:bodyPr/>
              <a:lstStyle/>
              <a:p>
                <a:pPr>
                  <a:defRPr sz="1400" b="1" i="0">
                    <a:latin typeface="Arial" panose="020B0604020202020204" pitchFamily="34" charset="0"/>
                  </a:defRPr>
                </a:pPr>
                <a:r>
                  <a:rPr lang="en-US" sz="1400" b="1" i="0">
                    <a:latin typeface="Arial" panose="020B0604020202020204" pitchFamily="34" charset="0"/>
                  </a:rPr>
                  <a:t>Drag Coefficient, CD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1600"/>
            </a:pPr>
            <a:endParaRPr lang="en-US"/>
          </a:p>
        </c:txPr>
        <c:crossAx val="964066304"/>
        <c:crosses val="autoZero"/>
        <c:crossBetween val="midCat"/>
      </c:valAx>
      <c:spPr>
        <a:solidFill>
          <a:srgbClr val="FFFFFF"/>
        </a:solidFill>
        <a:ln>
          <a:solidFill>
            <a:srgbClr val="000000"/>
          </a:solidFill>
          <a:prstDash val="solid"/>
        </a:ln>
      </c:spPr>
    </c:plotArea>
    <c:legend>
      <c:legendPos val="b"/>
      <c:overlay val="0"/>
      <c:txPr>
        <a:bodyPr/>
        <a:lstStyle/>
        <a:p>
          <a:pPr>
            <a:defRPr sz="1000"/>
          </a:pPr>
          <a:endParaRPr lang="en-US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userShapes r:id="rId1"/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600" b="1" i="0">
                <a:latin typeface="Arial" panose="020B0604020202020204" pitchFamily="34" charset="0"/>
              </a:defRPr>
            </a:pPr>
            <a:r>
              <a:rPr lang="en-US" sz="1600" b="1" i="0">
                <a:latin typeface="Arial" panose="020B0604020202020204" pitchFamily="34" charset="0"/>
              </a:rPr>
              <a:t>Pitch Moment vs Lift (Cm vs. CL) Comparison</a:t>
            </a:r>
          </a:p>
        </c:rich>
      </c:tx>
      <c:overlay val="0"/>
    </c:title>
    <c:autoTitleDeleted val="0"/>
    <c:plotArea>
      <c:layout>
        <c:manualLayout>
          <c:xMode val="edge"/>
          <c:yMode val="edge"/>
          <c:x val="3.5229357798165141E-2"/>
          <c:y val="4.4500628567396713E-2"/>
          <c:w val="0.96477064220183484"/>
          <c:h val="0.86978501290820842"/>
        </c:manualLayout>
      </c:layout>
      <c:scatterChart>
        <c:scatterStyle val="smoothMarker"/>
        <c:varyColors val="0"/>
        <c:ser>
          <c:idx val="0"/>
          <c:order val="0"/>
          <c:tx>
            <c:v>Atail beta 0</c:v>
          </c:tx>
          <c:spPr>
            <a:ln w="12700">
              <a:solidFill>
                <a:srgbClr val="0000FF"/>
              </a:solidFill>
              <a:prstDash val="solid"/>
            </a:ln>
          </c:spPr>
          <c:marker>
            <c:symbol val="diamond"/>
            <c:size val="5"/>
            <c:spPr>
              <a:solidFill>
                <a:srgbClr val="FFFFFF"/>
              </a:solidFill>
              <a:ln>
                <a:solidFill>
                  <a:srgbClr val="0000FF"/>
                </a:solidFill>
                <a:prstDash val="solid"/>
              </a:ln>
            </c:spPr>
          </c:marker>
          <c:xVal>
            <c:numRef>
              <c:f>'Run ID 1'!$O$7:$O$15</c:f>
              <c:numCache>
                <c:formatCode>General</c:formatCode>
                <c:ptCount val="9"/>
                <c:pt idx="0">
                  <c:v>-0.19162966271568224</c:v>
                </c:pt>
                <c:pt idx="1">
                  <c:v>-0.10122938733167186</c:v>
                </c:pt>
                <c:pt idx="2">
                  <c:v>-1.7695141626936681E-2</c:v>
                </c:pt>
                <c:pt idx="3">
                  <c:v>5.7453968896028586E-2</c:v>
                </c:pt>
                <c:pt idx="4">
                  <c:v>0.131810525130659</c:v>
                </c:pt>
                <c:pt idx="5">
                  <c:v>0.19972215001561594</c:v>
                </c:pt>
                <c:pt idx="6">
                  <c:v>0.25258295147403775</c:v>
                </c:pt>
                <c:pt idx="7">
                  <c:v>0.29837014881409157</c:v>
                </c:pt>
                <c:pt idx="8">
                  <c:v>0.34101046658726275</c:v>
                </c:pt>
              </c:numCache>
            </c:numRef>
          </c:xVal>
          <c:yVal>
            <c:numRef>
              <c:f>'Run ID 1'!$T$7:$T$15</c:f>
              <c:numCache>
                <c:formatCode>General</c:formatCode>
                <c:ptCount val="9"/>
                <c:pt idx="0">
                  <c:v>2.0831365191093191E-2</c:v>
                </c:pt>
                <c:pt idx="1">
                  <c:v>1.2547853741737074E-2</c:v>
                </c:pt>
                <c:pt idx="2">
                  <c:v>5.0676590561747406E-3</c:v>
                </c:pt>
                <c:pt idx="3">
                  <c:v>-7.6144338805476496E-4</c:v>
                </c:pt>
                <c:pt idx="4">
                  <c:v>-6.8210601888367998E-3</c:v>
                </c:pt>
                <c:pt idx="5">
                  <c:v>-1.235794541276183E-2</c:v>
                </c:pt>
                <c:pt idx="6">
                  <c:v>-1.2912895029067605E-2</c:v>
                </c:pt>
                <c:pt idx="7">
                  <c:v>-9.9745550511949697E-3</c:v>
                </c:pt>
                <c:pt idx="8">
                  <c:v>-5.6507818376665521E-3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707E-4495-8030-E00CD9B9CF71}"/>
            </c:ext>
          </c:extLst>
        </c:ser>
        <c:ser>
          <c:idx val="1"/>
          <c:order val="1"/>
          <c:tx>
            <c:v>Atail beta 10</c:v>
          </c:tx>
          <c:spPr>
            <a:ln w="12700">
              <a:solidFill>
                <a:srgbClr val="FF0000"/>
              </a:solidFill>
              <a:prstDash val="solid"/>
            </a:ln>
          </c:spPr>
          <c:marker>
            <c:symbol val="square"/>
            <c:size val="5"/>
            <c:spPr>
              <a:solidFill>
                <a:srgbClr val="FFFFFF"/>
              </a:solidFill>
              <a:ln>
                <a:solidFill>
                  <a:srgbClr val="FF0000"/>
                </a:solidFill>
                <a:prstDash val="solid"/>
              </a:ln>
            </c:spPr>
          </c:marker>
          <c:xVal>
            <c:numRef>
              <c:f>'Run ID 2'!$O$7:$O$15</c:f>
              <c:numCache>
                <c:formatCode>General</c:formatCode>
                <c:ptCount val="9"/>
                <c:pt idx="0">
                  <c:v>-0.16484697133045795</c:v>
                </c:pt>
                <c:pt idx="1">
                  <c:v>-8.0530096835419576E-2</c:v>
                </c:pt>
                <c:pt idx="2">
                  <c:v>-7.3729756778902842E-3</c:v>
                </c:pt>
                <c:pt idx="3">
                  <c:v>5.8826589313339846E-2</c:v>
                </c:pt>
                <c:pt idx="4">
                  <c:v>0.12956153249118929</c:v>
                </c:pt>
                <c:pt idx="5">
                  <c:v>0.20255024686642298</c:v>
                </c:pt>
                <c:pt idx="6">
                  <c:v>0.27077048013235316</c:v>
                </c:pt>
                <c:pt idx="7">
                  <c:v>0.33813990206954592</c:v>
                </c:pt>
                <c:pt idx="8">
                  <c:v>0.39354058952538579</c:v>
                </c:pt>
              </c:numCache>
            </c:numRef>
          </c:xVal>
          <c:yVal>
            <c:numRef>
              <c:f>'Run ID 2'!$T$7:$T$15</c:f>
              <c:numCache>
                <c:formatCode>General</c:formatCode>
                <c:ptCount val="9"/>
                <c:pt idx="0">
                  <c:v>1.6239236427329568E-2</c:v>
                </c:pt>
                <c:pt idx="1">
                  <c:v>8.0073542456417044E-3</c:v>
                </c:pt>
                <c:pt idx="2">
                  <c:v>9.2527469620226274E-4</c:v>
                </c:pt>
                <c:pt idx="3">
                  <c:v>-5.1372136202577504E-3</c:v>
                </c:pt>
                <c:pt idx="4">
                  <c:v>-1.085093085457915E-2</c:v>
                </c:pt>
                <c:pt idx="5">
                  <c:v>-1.6892969345652424E-2</c:v>
                </c:pt>
                <c:pt idx="6">
                  <c:v>-2.0684329198643436E-2</c:v>
                </c:pt>
                <c:pt idx="7">
                  <c:v>-1.873448836864592E-2</c:v>
                </c:pt>
                <c:pt idx="8">
                  <c:v>-1.6175576287922103E-2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707E-4495-8030-E00CD9B9CF7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964069184"/>
        <c:axId val="964067384"/>
      </c:scatterChart>
      <c:valAx>
        <c:axId val="964069184"/>
        <c:scaling>
          <c:orientation val="minMax"/>
        </c:scaling>
        <c:delete val="0"/>
        <c:axPos val="b"/>
        <c:majorGridlines>
          <c:spPr>
            <a:ln w="3175">
              <a:solidFill>
                <a:srgbClr val="808080"/>
              </a:solidFill>
              <a:prstDash val="sysDash"/>
            </a:ln>
          </c:spPr>
        </c:majorGridlines>
        <c:title>
          <c:tx>
            <c:rich>
              <a:bodyPr/>
              <a:lstStyle/>
              <a:p>
                <a:pPr>
                  <a:defRPr sz="1400" b="1" i="0"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Lift Coefficient, CL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1600"/>
            </a:pPr>
            <a:endParaRPr lang="en-US"/>
          </a:p>
        </c:txPr>
        <c:crossAx val="964067384"/>
        <c:crosses val="autoZero"/>
        <c:crossBetween val="midCat"/>
      </c:valAx>
      <c:valAx>
        <c:axId val="964067384"/>
        <c:scaling>
          <c:orientation val="minMax"/>
        </c:scaling>
        <c:delete val="0"/>
        <c:axPos val="l"/>
        <c:majorGridlines>
          <c:spPr>
            <a:ln w="3175">
              <a:solidFill>
                <a:srgbClr val="808080"/>
              </a:solidFill>
              <a:prstDash val="sysDash"/>
            </a:ln>
          </c:spPr>
        </c:majorGridlines>
        <c:title>
          <c:tx>
            <c:rich>
              <a:bodyPr/>
              <a:lstStyle/>
              <a:p>
                <a:pPr>
                  <a:defRPr sz="1400" b="1" i="0">
                    <a:latin typeface="Arial" panose="020B0604020202020204" pitchFamily="34" charset="0"/>
                  </a:defRPr>
                </a:pPr>
                <a:r>
                  <a:rPr lang="en-US" sz="1400" b="1" i="0">
                    <a:latin typeface="Arial" panose="020B0604020202020204" pitchFamily="34" charset="0"/>
                  </a:rPr>
                  <a:t>Pitching Moment Coefficient, Cm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1600"/>
            </a:pPr>
            <a:endParaRPr lang="en-US"/>
          </a:p>
        </c:txPr>
        <c:crossAx val="964069184"/>
        <c:crosses val="autoZero"/>
        <c:crossBetween val="midCat"/>
      </c:valAx>
      <c:spPr>
        <a:solidFill>
          <a:srgbClr val="FFFFFF"/>
        </a:solidFill>
        <a:ln>
          <a:solidFill>
            <a:srgbClr val="000000"/>
          </a:solidFill>
          <a:prstDash val="solid"/>
        </a:ln>
      </c:spPr>
    </c:plotArea>
    <c:legend>
      <c:legendPos val="b"/>
      <c:overlay val="0"/>
      <c:txPr>
        <a:bodyPr/>
        <a:lstStyle/>
        <a:p>
          <a:pPr>
            <a:defRPr sz="1000"/>
          </a:pPr>
          <a:endParaRPr lang="en-US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userShapes r:id="rId1"/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600" b="1" i="0">
                <a:latin typeface="Arial" panose="020B0604020202020204" pitchFamily="34" charset="0"/>
              </a:defRPr>
            </a:pPr>
            <a:r>
              <a:rPr lang="en-US" sz="1600" b="1" i="0">
                <a:latin typeface="Arial" panose="020B0604020202020204" pitchFamily="34" charset="0"/>
              </a:rPr>
              <a:t>Longitudinal (Pitch) Static Stability Derivative vs AoA (Cma vs. Alpha) Comparison</a:t>
            </a:r>
          </a:p>
        </c:rich>
      </c:tx>
      <c:overlay val="0"/>
    </c:title>
    <c:autoTitleDeleted val="0"/>
    <c:plotArea>
      <c:layout>
        <c:manualLayout>
          <c:xMode val="edge"/>
          <c:yMode val="edge"/>
          <c:x val="3.5229357798165141E-2"/>
          <c:y val="4.4500628567396713E-2"/>
          <c:w val="0.96477064220183484"/>
          <c:h val="0.86978501290820842"/>
        </c:manualLayout>
      </c:layout>
      <c:scatterChart>
        <c:scatterStyle val="smoothMarker"/>
        <c:varyColors val="0"/>
        <c:ser>
          <c:idx val="0"/>
          <c:order val="0"/>
          <c:tx>
            <c:v>Atail beta 0</c:v>
          </c:tx>
          <c:spPr>
            <a:ln w="12700">
              <a:solidFill>
                <a:srgbClr val="0000FF"/>
              </a:solidFill>
              <a:prstDash val="solid"/>
            </a:ln>
          </c:spPr>
          <c:marker>
            <c:symbol val="diamond"/>
            <c:size val="5"/>
            <c:spPr>
              <a:solidFill>
                <a:srgbClr val="FFFFFF"/>
              </a:solidFill>
              <a:ln>
                <a:solidFill>
                  <a:srgbClr val="0000FF"/>
                </a:solidFill>
                <a:prstDash val="solid"/>
              </a:ln>
            </c:spPr>
          </c:marker>
          <c:xVal>
            <c:numRef>
              <c:f>'Run ID 1'!$B$7:$B$15</c:f>
              <c:numCache>
                <c:formatCode>General</c:formatCode>
                <c:ptCount val="9"/>
                <c:pt idx="0">
                  <c:v>-6.0973447219854826</c:v>
                </c:pt>
                <c:pt idx="1">
                  <c:v>-4.0514228665171883</c:v>
                </c:pt>
                <c:pt idx="2">
                  <c:v>-2.0089888413816372</c:v>
                </c:pt>
                <c:pt idx="3">
                  <c:v>2.9185672770527558E-2</c:v>
                </c:pt>
                <c:pt idx="4">
                  <c:v>2.0669575823584352</c:v>
                </c:pt>
                <c:pt idx="5">
                  <c:v>4.1014555726503499</c:v>
                </c:pt>
                <c:pt idx="6">
                  <c:v>6.1283079917851397</c:v>
                </c:pt>
                <c:pt idx="7">
                  <c:v>8.1515671361806241</c:v>
                </c:pt>
                <c:pt idx="8">
                  <c:v>10.173227717429782</c:v>
                </c:pt>
              </c:numCache>
            </c:numRef>
          </c:xVal>
          <c:yVal>
            <c:numRef>
              <c:f>'Run ID 1'!$V$7:$V$15</c:f>
              <c:numCache>
                <c:formatCode>General</c:formatCode>
                <c:ptCount val="9"/>
                <c:pt idx="0">
                  <c:v>-4.0487917107958609E-3</c:v>
                </c:pt>
                <c:pt idx="1">
                  <c:v>-3.8557568360683336E-3</c:v>
                </c:pt>
                <c:pt idx="2">
                  <c:v>-3.2615961569582518E-3</c:v>
                </c:pt>
                <c:pt idx="3">
                  <c:v>-2.9167996850416153E-3</c:v>
                </c:pt>
                <c:pt idx="4">
                  <c:v>-2.8476752056756584E-3</c:v>
                </c:pt>
                <c:pt idx="5">
                  <c:v>-1.4999530269762468E-3</c:v>
                </c:pt>
                <c:pt idx="6">
                  <c:v>5.8847523683752104E-4</c:v>
                </c:pt>
                <c:pt idx="7">
                  <c:v>1.7953664556949109E-3</c:v>
                </c:pt>
                <c:pt idx="8">
                  <c:v>2.1387236085183073E-3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97CF-4833-9EFE-720127C887B4}"/>
            </c:ext>
          </c:extLst>
        </c:ser>
        <c:ser>
          <c:idx val="1"/>
          <c:order val="1"/>
          <c:tx>
            <c:v>Atail beta 10</c:v>
          </c:tx>
          <c:spPr>
            <a:ln w="12700">
              <a:solidFill>
                <a:srgbClr val="FF0000"/>
              </a:solidFill>
              <a:prstDash val="solid"/>
            </a:ln>
          </c:spPr>
          <c:marker>
            <c:symbol val="square"/>
            <c:size val="5"/>
            <c:spPr>
              <a:solidFill>
                <a:srgbClr val="FFFFFF"/>
              </a:solidFill>
              <a:ln>
                <a:solidFill>
                  <a:srgbClr val="FF0000"/>
                </a:solidFill>
                <a:prstDash val="solid"/>
              </a:ln>
            </c:spPr>
          </c:marker>
          <c:xVal>
            <c:numRef>
              <c:f>'Run ID 2'!$B$7:$B$15</c:f>
              <c:numCache>
                <c:formatCode>General</c:formatCode>
                <c:ptCount val="9"/>
                <c:pt idx="0">
                  <c:v>-6.0837395545496573</c:v>
                </c:pt>
                <c:pt idx="1">
                  <c:v>-4.0409079668398666</c:v>
                </c:pt>
                <c:pt idx="2">
                  <c:v>-2.0037453505756821</c:v>
                </c:pt>
                <c:pt idx="3">
                  <c:v>2.9882941403270542E-2</c:v>
                </c:pt>
                <c:pt idx="4">
                  <c:v>2.0658151310273936</c:v>
                </c:pt>
                <c:pt idx="5">
                  <c:v>4.102892199411512</c:v>
                </c:pt>
                <c:pt idx="6">
                  <c:v>6.1375469576934263</c:v>
                </c:pt>
                <c:pt idx="7">
                  <c:v>8.1717695177911747</c:v>
                </c:pt>
                <c:pt idx="8">
                  <c:v>10.199912157306201</c:v>
                </c:pt>
              </c:numCache>
            </c:numRef>
          </c:xVal>
          <c:yVal>
            <c:numRef>
              <c:f>'Run ID 2'!$V$7:$V$15</c:f>
              <c:numCache>
                <c:formatCode>General</c:formatCode>
                <c:ptCount val="9"/>
                <c:pt idx="0">
                  <c:v>-4.0296430852220129E-3</c:v>
                </c:pt>
                <c:pt idx="1">
                  <c:v>-3.7534273250220012E-3</c:v>
                </c:pt>
                <c:pt idx="2">
                  <c:v>-3.2289960752546632E-3</c:v>
                </c:pt>
                <c:pt idx="3">
                  <c:v>-2.8937290904059855E-3</c:v>
                </c:pt>
                <c:pt idx="4">
                  <c:v>-2.8862580418349956E-3</c:v>
                </c:pt>
                <c:pt idx="5">
                  <c:v>-2.4150407646360028E-3</c:v>
                </c:pt>
                <c:pt idx="6">
                  <c:v>-4.5258651930229213E-4</c:v>
                </c:pt>
                <c:pt idx="7">
                  <c:v>1.1098836980858117E-3</c:v>
                </c:pt>
                <c:pt idx="8">
                  <c:v>1.2617022249163444E-3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97CF-4833-9EFE-720127C887B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964066664"/>
        <c:axId val="964070264"/>
      </c:scatterChart>
      <c:valAx>
        <c:axId val="964066664"/>
        <c:scaling>
          <c:orientation val="minMax"/>
        </c:scaling>
        <c:delete val="0"/>
        <c:axPos val="b"/>
        <c:majorGridlines>
          <c:spPr>
            <a:ln w="3175">
              <a:solidFill>
                <a:srgbClr val="808080"/>
              </a:solidFill>
              <a:prstDash val="sysDash"/>
            </a:ln>
          </c:spPr>
        </c:majorGridlines>
        <c:title>
          <c:tx>
            <c:rich>
              <a:bodyPr/>
              <a:lstStyle/>
              <a:p>
                <a:pPr>
                  <a:defRPr sz="1400" b="1" i="0"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Pitch Angle of Attack, Alpha (deg)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1600"/>
            </a:pPr>
            <a:endParaRPr lang="en-US"/>
          </a:p>
        </c:txPr>
        <c:crossAx val="964070264"/>
        <c:crosses val="autoZero"/>
        <c:crossBetween val="midCat"/>
      </c:valAx>
      <c:valAx>
        <c:axId val="964070264"/>
        <c:scaling>
          <c:orientation val="minMax"/>
        </c:scaling>
        <c:delete val="0"/>
        <c:axPos val="l"/>
        <c:majorGridlines>
          <c:spPr>
            <a:ln w="3175">
              <a:solidFill>
                <a:srgbClr val="808080"/>
              </a:solidFill>
              <a:prstDash val="sysDash"/>
            </a:ln>
          </c:spPr>
        </c:majorGridlines>
        <c:title>
          <c:tx>
            <c:rich>
              <a:bodyPr/>
              <a:lstStyle/>
              <a:p>
                <a:pPr>
                  <a:defRPr sz="1400" b="1" i="0">
                    <a:latin typeface="Arial" panose="020B0604020202020204" pitchFamily="34" charset="0"/>
                  </a:defRPr>
                </a:pPr>
                <a:r>
                  <a:rPr lang="en-US" sz="1400" b="1" i="0">
                    <a:latin typeface="Arial" panose="020B0604020202020204" pitchFamily="34" charset="0"/>
                  </a:rPr>
                  <a:t>Longitudinal Static Stability Derivative, Cma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1600"/>
            </a:pPr>
            <a:endParaRPr lang="en-US"/>
          </a:p>
        </c:txPr>
        <c:crossAx val="964066664"/>
        <c:crosses val="autoZero"/>
        <c:crossBetween val="midCat"/>
      </c:valAx>
      <c:spPr>
        <a:solidFill>
          <a:srgbClr val="FFFFFF"/>
        </a:solidFill>
        <a:ln>
          <a:solidFill>
            <a:srgbClr val="000000"/>
          </a:solidFill>
          <a:prstDash val="solid"/>
        </a:ln>
      </c:spPr>
    </c:plotArea>
    <c:legend>
      <c:legendPos val="b"/>
      <c:overlay val="0"/>
      <c:txPr>
        <a:bodyPr/>
        <a:lstStyle/>
        <a:p>
          <a:pPr>
            <a:defRPr sz="1000"/>
          </a:pPr>
          <a:endParaRPr lang="en-US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userShapes r:id="rId1"/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600" b="1" i="0">
                <a:latin typeface="Arial" panose="020B0604020202020204" pitchFamily="34" charset="0"/>
              </a:defRPr>
            </a:pPr>
            <a:r>
              <a:rPr lang="en-US" sz="1600" b="1" i="0">
                <a:latin typeface="Arial" panose="020B0604020202020204" pitchFamily="34" charset="0"/>
              </a:rPr>
              <a:t>Pitch Moment vs Angle of Attack (Cm vs Alpha) Comparison</a:t>
            </a:r>
          </a:p>
        </c:rich>
      </c:tx>
      <c:overlay val="0"/>
    </c:title>
    <c:autoTitleDeleted val="0"/>
    <c:plotArea>
      <c:layout>
        <c:manualLayout>
          <c:xMode val="edge"/>
          <c:yMode val="edge"/>
          <c:x val="3.5229357798165141E-2"/>
          <c:y val="4.4500628567396713E-2"/>
          <c:w val="0.96477064220183484"/>
          <c:h val="0.86978501290820842"/>
        </c:manualLayout>
      </c:layout>
      <c:scatterChart>
        <c:scatterStyle val="smoothMarker"/>
        <c:varyColors val="0"/>
        <c:ser>
          <c:idx val="0"/>
          <c:order val="0"/>
          <c:tx>
            <c:v>Atail beta 0</c:v>
          </c:tx>
          <c:spPr>
            <a:ln w="12700">
              <a:solidFill>
                <a:srgbClr val="0000FF"/>
              </a:solidFill>
              <a:prstDash val="solid"/>
            </a:ln>
          </c:spPr>
          <c:marker>
            <c:symbol val="diamond"/>
            <c:size val="5"/>
            <c:spPr>
              <a:solidFill>
                <a:srgbClr val="FFFFFF"/>
              </a:solidFill>
              <a:ln>
                <a:solidFill>
                  <a:srgbClr val="0000FF"/>
                </a:solidFill>
                <a:prstDash val="solid"/>
              </a:ln>
            </c:spPr>
          </c:marker>
          <c:xVal>
            <c:numRef>
              <c:f>'Run ID 1'!$B$7:$B$15</c:f>
              <c:numCache>
                <c:formatCode>General</c:formatCode>
                <c:ptCount val="9"/>
                <c:pt idx="0">
                  <c:v>-6.0973447219854826</c:v>
                </c:pt>
                <c:pt idx="1">
                  <c:v>-4.0514228665171883</c:v>
                </c:pt>
                <c:pt idx="2">
                  <c:v>-2.0089888413816372</c:v>
                </c:pt>
                <c:pt idx="3">
                  <c:v>2.9185672770527558E-2</c:v>
                </c:pt>
                <c:pt idx="4">
                  <c:v>2.0669575823584352</c:v>
                </c:pt>
                <c:pt idx="5">
                  <c:v>4.1014555726503499</c:v>
                </c:pt>
                <c:pt idx="6">
                  <c:v>6.1283079917851397</c:v>
                </c:pt>
                <c:pt idx="7">
                  <c:v>8.1515671361806241</c:v>
                </c:pt>
                <c:pt idx="8">
                  <c:v>10.173227717429782</c:v>
                </c:pt>
              </c:numCache>
            </c:numRef>
          </c:xVal>
          <c:yVal>
            <c:numRef>
              <c:f>'Run ID 1'!$T$7:$T$15</c:f>
              <c:numCache>
                <c:formatCode>General</c:formatCode>
                <c:ptCount val="9"/>
                <c:pt idx="0">
                  <c:v>2.0831365191093191E-2</c:v>
                </c:pt>
                <c:pt idx="1">
                  <c:v>1.2547853741737074E-2</c:v>
                </c:pt>
                <c:pt idx="2">
                  <c:v>5.0676590561747406E-3</c:v>
                </c:pt>
                <c:pt idx="3">
                  <c:v>-7.6144338805476496E-4</c:v>
                </c:pt>
                <c:pt idx="4">
                  <c:v>-6.8210601888367998E-3</c:v>
                </c:pt>
                <c:pt idx="5">
                  <c:v>-1.235794541276183E-2</c:v>
                </c:pt>
                <c:pt idx="6">
                  <c:v>-1.2912895029067605E-2</c:v>
                </c:pt>
                <c:pt idx="7">
                  <c:v>-9.9745550511949697E-3</c:v>
                </c:pt>
                <c:pt idx="8">
                  <c:v>-5.6507818376665521E-3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955B-4910-A5DC-6012896D2EB0}"/>
            </c:ext>
          </c:extLst>
        </c:ser>
        <c:ser>
          <c:idx val="1"/>
          <c:order val="1"/>
          <c:tx>
            <c:v>Atail beta 10</c:v>
          </c:tx>
          <c:spPr>
            <a:ln w="12700">
              <a:solidFill>
                <a:srgbClr val="FF0000"/>
              </a:solidFill>
              <a:prstDash val="solid"/>
            </a:ln>
          </c:spPr>
          <c:marker>
            <c:symbol val="square"/>
            <c:size val="5"/>
            <c:spPr>
              <a:solidFill>
                <a:srgbClr val="FFFFFF"/>
              </a:solidFill>
              <a:ln>
                <a:solidFill>
                  <a:srgbClr val="FF0000"/>
                </a:solidFill>
                <a:prstDash val="solid"/>
              </a:ln>
            </c:spPr>
          </c:marker>
          <c:xVal>
            <c:numRef>
              <c:f>'Run ID 2'!$B$7:$B$15</c:f>
              <c:numCache>
                <c:formatCode>General</c:formatCode>
                <c:ptCount val="9"/>
                <c:pt idx="0">
                  <c:v>-6.0837395545496573</c:v>
                </c:pt>
                <c:pt idx="1">
                  <c:v>-4.0409079668398666</c:v>
                </c:pt>
                <c:pt idx="2">
                  <c:v>-2.0037453505756821</c:v>
                </c:pt>
                <c:pt idx="3">
                  <c:v>2.9882941403270542E-2</c:v>
                </c:pt>
                <c:pt idx="4">
                  <c:v>2.0658151310273936</c:v>
                </c:pt>
                <c:pt idx="5">
                  <c:v>4.102892199411512</c:v>
                </c:pt>
                <c:pt idx="6">
                  <c:v>6.1375469576934263</c:v>
                </c:pt>
                <c:pt idx="7">
                  <c:v>8.1717695177911747</c:v>
                </c:pt>
                <c:pt idx="8">
                  <c:v>10.199912157306201</c:v>
                </c:pt>
              </c:numCache>
            </c:numRef>
          </c:xVal>
          <c:yVal>
            <c:numRef>
              <c:f>'Run ID 2'!$T$7:$T$15</c:f>
              <c:numCache>
                <c:formatCode>General</c:formatCode>
                <c:ptCount val="9"/>
                <c:pt idx="0">
                  <c:v>1.6239236427329568E-2</c:v>
                </c:pt>
                <c:pt idx="1">
                  <c:v>8.0073542456417044E-3</c:v>
                </c:pt>
                <c:pt idx="2">
                  <c:v>9.2527469620226274E-4</c:v>
                </c:pt>
                <c:pt idx="3">
                  <c:v>-5.1372136202577504E-3</c:v>
                </c:pt>
                <c:pt idx="4">
                  <c:v>-1.085093085457915E-2</c:v>
                </c:pt>
                <c:pt idx="5">
                  <c:v>-1.6892969345652424E-2</c:v>
                </c:pt>
                <c:pt idx="6">
                  <c:v>-2.0684329198643436E-2</c:v>
                </c:pt>
                <c:pt idx="7">
                  <c:v>-1.873448836864592E-2</c:v>
                </c:pt>
                <c:pt idx="8">
                  <c:v>-1.6175576287922103E-2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955B-4910-A5DC-6012896D2EB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954971624"/>
        <c:axId val="954971984"/>
      </c:scatterChart>
      <c:valAx>
        <c:axId val="954971624"/>
        <c:scaling>
          <c:orientation val="minMax"/>
        </c:scaling>
        <c:delete val="0"/>
        <c:axPos val="b"/>
        <c:majorGridlines>
          <c:spPr>
            <a:ln w="3175">
              <a:solidFill>
                <a:srgbClr val="808080"/>
              </a:solidFill>
              <a:prstDash val="sysDash"/>
            </a:ln>
          </c:spPr>
        </c:majorGridlines>
        <c:title>
          <c:tx>
            <c:rich>
              <a:bodyPr/>
              <a:lstStyle/>
              <a:p>
                <a:pPr>
                  <a:defRPr sz="1400" b="1" i="0"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Pitch Angle of Attack, Alpha (deg)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1600"/>
            </a:pPr>
            <a:endParaRPr lang="en-US"/>
          </a:p>
        </c:txPr>
        <c:crossAx val="954971984"/>
        <c:crosses val="autoZero"/>
        <c:crossBetween val="midCat"/>
      </c:valAx>
      <c:valAx>
        <c:axId val="954971984"/>
        <c:scaling>
          <c:orientation val="minMax"/>
        </c:scaling>
        <c:delete val="0"/>
        <c:axPos val="l"/>
        <c:majorGridlines>
          <c:spPr>
            <a:ln w="3175">
              <a:solidFill>
                <a:srgbClr val="808080"/>
              </a:solidFill>
              <a:prstDash val="sysDash"/>
            </a:ln>
          </c:spPr>
        </c:majorGridlines>
        <c:title>
          <c:tx>
            <c:rich>
              <a:bodyPr/>
              <a:lstStyle/>
              <a:p>
                <a:pPr>
                  <a:defRPr sz="1400" b="1" i="0">
                    <a:latin typeface="Arial" panose="020B0604020202020204" pitchFamily="34" charset="0"/>
                  </a:defRPr>
                </a:pPr>
                <a:r>
                  <a:rPr lang="en-US" sz="1400" b="1" i="0">
                    <a:latin typeface="Arial" panose="020B0604020202020204" pitchFamily="34" charset="0"/>
                  </a:rPr>
                  <a:t>Pitching Moment Coefficient, Cm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1600"/>
            </a:pPr>
            <a:endParaRPr lang="en-US"/>
          </a:p>
        </c:txPr>
        <c:crossAx val="954971624"/>
        <c:crosses val="autoZero"/>
        <c:crossBetween val="midCat"/>
      </c:valAx>
      <c:spPr>
        <a:solidFill>
          <a:srgbClr val="FFFFFF"/>
        </a:solidFill>
        <a:ln>
          <a:solidFill>
            <a:srgbClr val="000000"/>
          </a:solidFill>
          <a:prstDash val="solid"/>
        </a:ln>
      </c:spPr>
    </c:plotArea>
    <c:legend>
      <c:legendPos val="b"/>
      <c:overlay val="0"/>
      <c:txPr>
        <a:bodyPr/>
        <a:lstStyle/>
        <a:p>
          <a:pPr>
            <a:defRPr sz="1000"/>
          </a:pPr>
          <a:endParaRPr lang="en-US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userShapes r:id="rId1"/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600" b="1" i="0">
                <a:latin typeface="Arial" panose="020B0604020202020204" pitchFamily="34" charset="0"/>
              </a:defRPr>
            </a:pPr>
            <a:r>
              <a:rPr lang="en-US" sz="1600" b="1" i="0">
                <a:latin typeface="Arial" panose="020B0604020202020204" pitchFamily="34" charset="0"/>
              </a:rPr>
              <a:t>Static Margin vs Angle of Attack (SM vs Alpha) Comparison</a:t>
            </a:r>
          </a:p>
        </c:rich>
      </c:tx>
      <c:overlay val="0"/>
    </c:title>
    <c:autoTitleDeleted val="0"/>
    <c:plotArea>
      <c:layout>
        <c:manualLayout>
          <c:xMode val="edge"/>
          <c:yMode val="edge"/>
          <c:x val="3.5229357798165141E-2"/>
          <c:y val="4.4500628567396713E-2"/>
          <c:w val="0.96477064220183484"/>
          <c:h val="0.86978501290820842"/>
        </c:manualLayout>
      </c:layout>
      <c:scatterChart>
        <c:scatterStyle val="smoothMarker"/>
        <c:varyColors val="0"/>
        <c:ser>
          <c:idx val="0"/>
          <c:order val="0"/>
          <c:tx>
            <c:v>Atail beta 0</c:v>
          </c:tx>
          <c:spPr>
            <a:ln w="12700">
              <a:solidFill>
                <a:srgbClr val="0000FF"/>
              </a:solidFill>
              <a:prstDash val="solid"/>
            </a:ln>
          </c:spPr>
          <c:marker>
            <c:symbol val="diamond"/>
            <c:size val="5"/>
            <c:spPr>
              <a:solidFill>
                <a:srgbClr val="FFFFFF"/>
              </a:solidFill>
              <a:ln>
                <a:solidFill>
                  <a:srgbClr val="0000FF"/>
                </a:solidFill>
                <a:prstDash val="solid"/>
              </a:ln>
            </c:spPr>
          </c:marker>
          <c:xVal>
            <c:numRef>
              <c:f>'Run ID 1'!$B$7:$B$15</c:f>
              <c:numCache>
                <c:formatCode>General</c:formatCode>
                <c:ptCount val="9"/>
                <c:pt idx="0">
                  <c:v>-6.0973447219854826</c:v>
                </c:pt>
                <c:pt idx="1">
                  <c:v>-4.0514228665171883</c:v>
                </c:pt>
                <c:pt idx="2">
                  <c:v>-2.0089888413816372</c:v>
                </c:pt>
                <c:pt idx="3">
                  <c:v>2.9185672770527558E-2</c:v>
                </c:pt>
                <c:pt idx="4">
                  <c:v>2.0669575823584352</c:v>
                </c:pt>
                <c:pt idx="5">
                  <c:v>4.1014555726503499</c:v>
                </c:pt>
                <c:pt idx="6">
                  <c:v>6.1283079917851397</c:v>
                </c:pt>
                <c:pt idx="7">
                  <c:v>8.1515671361806241</c:v>
                </c:pt>
                <c:pt idx="8">
                  <c:v>10.173227717429782</c:v>
                </c:pt>
              </c:numCache>
            </c:numRef>
          </c:xVal>
          <c:yVal>
            <c:numRef>
              <c:f>'Run ID 1'!$X$7:$X$15</c:f>
              <c:numCache>
                <c:formatCode>General</c:formatCode>
                <c:ptCount val="9"/>
                <c:pt idx="0">
                  <c:v>9.1631484684849412E-2</c:v>
                </c:pt>
                <c:pt idx="1">
                  <c:v>9.0630117795164014E-2</c:v>
                </c:pt>
                <c:pt idx="2">
                  <c:v>8.3873302444484807E-2</c:v>
                </c:pt>
                <c:pt idx="3">
                  <c:v>7.9520191460619213E-2</c:v>
                </c:pt>
                <c:pt idx="4">
                  <c:v>8.1511564521650232E-2</c:v>
                </c:pt>
                <c:pt idx="5">
                  <c:v>5.0440609869926531E-2</c:v>
                </c:pt>
                <c:pt idx="6">
                  <c:v>-2.4160554604212511E-2</c:v>
                </c:pt>
                <c:pt idx="7">
                  <c:v>-8.2125039724371379E-2</c:v>
                </c:pt>
                <c:pt idx="8">
                  <c:v>-0.10140105513587164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9BD7-4B34-9D03-8EEA583BD9D1}"/>
            </c:ext>
          </c:extLst>
        </c:ser>
        <c:ser>
          <c:idx val="1"/>
          <c:order val="1"/>
          <c:tx>
            <c:v>Atail beta 10</c:v>
          </c:tx>
          <c:spPr>
            <a:ln w="12700">
              <a:solidFill>
                <a:srgbClr val="FF0000"/>
              </a:solidFill>
              <a:prstDash val="solid"/>
            </a:ln>
          </c:spPr>
          <c:marker>
            <c:symbol val="square"/>
            <c:size val="5"/>
            <c:spPr>
              <a:solidFill>
                <a:srgbClr val="FFFFFF"/>
              </a:solidFill>
              <a:ln>
                <a:solidFill>
                  <a:srgbClr val="FF0000"/>
                </a:solidFill>
                <a:prstDash val="solid"/>
              </a:ln>
            </c:spPr>
          </c:marker>
          <c:xVal>
            <c:numRef>
              <c:f>'Run ID 2'!$B$7:$B$15</c:f>
              <c:numCache>
                <c:formatCode>General</c:formatCode>
                <c:ptCount val="9"/>
                <c:pt idx="0">
                  <c:v>-6.0837395545496573</c:v>
                </c:pt>
                <c:pt idx="1">
                  <c:v>-4.0409079668398666</c:v>
                </c:pt>
                <c:pt idx="2">
                  <c:v>-2.0037453505756821</c:v>
                </c:pt>
                <c:pt idx="3">
                  <c:v>2.9882941403270542E-2</c:v>
                </c:pt>
                <c:pt idx="4">
                  <c:v>2.0658151310273936</c:v>
                </c:pt>
                <c:pt idx="5">
                  <c:v>4.102892199411512</c:v>
                </c:pt>
                <c:pt idx="6">
                  <c:v>6.1375469576934263</c:v>
                </c:pt>
                <c:pt idx="7">
                  <c:v>8.1717695177911747</c:v>
                </c:pt>
                <c:pt idx="8">
                  <c:v>10.199912157306201</c:v>
                </c:pt>
              </c:numCache>
            </c:numRef>
          </c:xVal>
          <c:yVal>
            <c:numRef>
              <c:f>'Run ID 2'!$X$7:$X$15</c:f>
              <c:numCache>
                <c:formatCode>General</c:formatCode>
                <c:ptCount val="9"/>
                <c:pt idx="0">
                  <c:v>9.7630305095954065E-2</c:v>
                </c:pt>
                <c:pt idx="1">
                  <c:v>9.724755930442161E-2</c:v>
                </c:pt>
                <c:pt idx="2">
                  <c:v>9.4323194883293882E-2</c:v>
                </c:pt>
                <c:pt idx="3">
                  <c:v>8.5998815844438345E-2</c:v>
                </c:pt>
                <c:pt idx="4">
                  <c:v>8.179415919089579E-2</c:v>
                </c:pt>
                <c:pt idx="5">
                  <c:v>6.9637218521397343E-2</c:v>
                </c:pt>
                <c:pt idx="6">
                  <c:v>1.3581559892860333E-2</c:v>
                </c:pt>
                <c:pt idx="7">
                  <c:v>-3.6725168145669271E-2</c:v>
                </c:pt>
                <c:pt idx="8">
                  <c:v>-4.6189175590348706E-2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9BD7-4B34-9D03-8EEA583BD9D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954973784"/>
        <c:axId val="954977024"/>
      </c:scatterChart>
      <c:valAx>
        <c:axId val="954973784"/>
        <c:scaling>
          <c:orientation val="minMax"/>
        </c:scaling>
        <c:delete val="0"/>
        <c:axPos val="b"/>
        <c:majorGridlines>
          <c:spPr>
            <a:ln w="3175">
              <a:solidFill>
                <a:srgbClr val="808080"/>
              </a:solidFill>
              <a:prstDash val="sysDash"/>
            </a:ln>
          </c:spPr>
        </c:majorGridlines>
        <c:title>
          <c:tx>
            <c:rich>
              <a:bodyPr/>
              <a:lstStyle/>
              <a:p>
                <a:pPr>
                  <a:defRPr sz="1400" b="1" i="0"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Pitch Angle of Attack, Alpha (deg)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1600"/>
            </a:pPr>
            <a:endParaRPr lang="en-US"/>
          </a:p>
        </c:txPr>
        <c:crossAx val="954977024"/>
        <c:crosses val="autoZero"/>
        <c:crossBetween val="midCat"/>
      </c:valAx>
      <c:valAx>
        <c:axId val="954977024"/>
        <c:scaling>
          <c:orientation val="minMax"/>
        </c:scaling>
        <c:delete val="0"/>
        <c:axPos val="l"/>
        <c:majorGridlines>
          <c:spPr>
            <a:ln w="3175">
              <a:solidFill>
                <a:srgbClr val="808080"/>
              </a:solidFill>
              <a:prstDash val="sysDash"/>
            </a:ln>
          </c:spPr>
        </c:majorGridlines>
        <c:title>
          <c:tx>
            <c:rich>
              <a:bodyPr/>
              <a:lstStyle/>
              <a:p>
                <a:pPr>
                  <a:defRPr sz="1400" b="1" i="0">
                    <a:latin typeface="Arial" panose="020B0604020202020204" pitchFamily="34" charset="0"/>
                  </a:defRPr>
                </a:pPr>
                <a:r>
                  <a:rPr lang="en-US" sz="1400" b="1" i="0">
                    <a:latin typeface="Arial" panose="020B0604020202020204" pitchFamily="34" charset="0"/>
                  </a:rPr>
                  <a:t>Static Margin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1600"/>
            </a:pPr>
            <a:endParaRPr lang="en-US"/>
          </a:p>
        </c:txPr>
        <c:crossAx val="954973784"/>
        <c:crosses val="autoZero"/>
        <c:crossBetween val="midCat"/>
      </c:valAx>
      <c:spPr>
        <a:solidFill>
          <a:srgbClr val="FFFFFF"/>
        </a:solidFill>
        <a:ln>
          <a:solidFill>
            <a:srgbClr val="000000"/>
          </a:solidFill>
          <a:prstDash val="solid"/>
        </a:ln>
      </c:spPr>
    </c:plotArea>
    <c:legend>
      <c:legendPos val="b"/>
      <c:overlay val="0"/>
      <c:txPr>
        <a:bodyPr/>
        <a:lstStyle/>
        <a:p>
          <a:pPr>
            <a:defRPr sz="1000"/>
          </a:pPr>
          <a:endParaRPr lang="en-US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userShapes r:id="rId1"/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600" b="1" i="0">
                <a:latin typeface="Arial" panose="020B0604020202020204" pitchFamily="34" charset="0"/>
              </a:defRPr>
            </a:pPr>
            <a:r>
              <a:rPr lang="en-US" sz="1600" b="1" i="0">
                <a:latin typeface="Arial" panose="020B0604020202020204" pitchFamily="34" charset="0"/>
              </a:rPr>
              <a:t>Side Force Coefficient Derivative wrt Beta vs AoA (CYb vs. Alpha) Comparison</a:t>
            </a:r>
          </a:p>
        </c:rich>
      </c:tx>
      <c:overlay val="0"/>
    </c:title>
    <c:autoTitleDeleted val="0"/>
    <c:plotArea>
      <c:layout>
        <c:manualLayout>
          <c:xMode val="edge"/>
          <c:yMode val="edge"/>
          <c:x val="3.5229357798165141E-2"/>
          <c:y val="4.4500628567396713E-2"/>
          <c:w val="0.96477064220183484"/>
          <c:h val="0.86978501290820842"/>
        </c:manualLayout>
      </c:layout>
      <c:scatterChart>
        <c:scatterStyle val="smoothMarker"/>
        <c:varyColors val="0"/>
        <c:ser>
          <c:idx val="0"/>
          <c:order val="0"/>
          <c:tx>
            <c:v>Beta = 0</c:v>
          </c:tx>
          <c:spPr>
            <a:ln w="12700">
              <a:solidFill>
                <a:srgbClr val="0000FF"/>
              </a:solidFill>
              <a:prstDash val="solid"/>
            </a:ln>
          </c:spPr>
          <c:marker>
            <c:symbol val="diamond"/>
            <c:size val="5"/>
            <c:spPr>
              <a:solidFill>
                <a:srgbClr val="FFFFFF"/>
              </a:solidFill>
              <a:ln>
                <a:solidFill>
                  <a:srgbClr val="0000FF"/>
                </a:solidFill>
                <a:prstDash val="solid"/>
              </a:ln>
            </c:spPr>
          </c:marker>
          <c:xVal>
            <c:numRef>
              <c:f>'Beta Data'!$B$2:$B$10</c:f>
              <c:numCache>
                <c:formatCode>General</c:formatCode>
                <c:ptCount val="9"/>
                <c:pt idx="0">
                  <c:v>-6.0973447219854826</c:v>
                </c:pt>
                <c:pt idx="1">
                  <c:v>-4.0514228665171883</c:v>
                </c:pt>
                <c:pt idx="2">
                  <c:v>-2.0089888413816372</c:v>
                </c:pt>
                <c:pt idx="3">
                  <c:v>2.9185672770527558E-2</c:v>
                </c:pt>
                <c:pt idx="4">
                  <c:v>2.0669575823584352</c:v>
                </c:pt>
                <c:pt idx="5">
                  <c:v>4.1014555726503499</c:v>
                </c:pt>
                <c:pt idx="6">
                  <c:v>6.1283079917851397</c:v>
                </c:pt>
                <c:pt idx="7">
                  <c:v>8.1515671361806241</c:v>
                </c:pt>
                <c:pt idx="8">
                  <c:v>10.173227717429782</c:v>
                </c:pt>
              </c:numCache>
            </c:numRef>
          </c:xVal>
          <c:yVal>
            <c:numRef>
              <c:f>'Beta Data'!$J$2:$J$10</c:f>
              <c:numCache>
                <c:formatCode>General</c:formatCode>
                <c:ptCount val="9"/>
                <c:pt idx="0">
                  <c:v>-5.79E-3</c:v>
                </c:pt>
                <c:pt idx="1">
                  <c:v>-6.1600000000000005E-3</c:v>
                </c:pt>
                <c:pt idx="2">
                  <c:v>-6.7599999999999995E-3</c:v>
                </c:pt>
                <c:pt idx="3">
                  <c:v>-7.3499999999999998E-3</c:v>
                </c:pt>
                <c:pt idx="4">
                  <c:v>-7.62E-3</c:v>
                </c:pt>
                <c:pt idx="5">
                  <c:v>-8.0499999999999999E-3</c:v>
                </c:pt>
                <c:pt idx="6">
                  <c:v>-6.4000000000000003E-3</c:v>
                </c:pt>
                <c:pt idx="7">
                  <c:v>-5.2699999999999995E-3</c:v>
                </c:pt>
                <c:pt idx="8">
                  <c:v>-4.2300000000000003E-3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E1F5-4983-8315-06F89A07B3CA}"/>
            </c:ext>
          </c:extLst>
        </c:ser>
        <c:ser>
          <c:idx val="1"/>
          <c:order val="1"/>
          <c:tx>
            <c:v>Beta = 10</c:v>
          </c:tx>
          <c:spPr>
            <a:ln w="12700">
              <a:solidFill>
                <a:srgbClr val="FF0000"/>
              </a:solidFill>
              <a:prstDash val="solid"/>
            </a:ln>
          </c:spPr>
          <c:marker>
            <c:symbol val="square"/>
            <c:size val="5"/>
            <c:spPr>
              <a:solidFill>
                <a:srgbClr val="FFFFFF"/>
              </a:solidFill>
              <a:ln>
                <a:solidFill>
                  <a:srgbClr val="FF0000"/>
                </a:solidFill>
                <a:prstDash val="solid"/>
              </a:ln>
            </c:spPr>
          </c:marker>
          <c:xVal>
            <c:numRef>
              <c:f>'Beta Data'!$B$11:$B$19</c:f>
              <c:numCache>
                <c:formatCode>General</c:formatCode>
                <c:ptCount val="9"/>
                <c:pt idx="0">
                  <c:v>-6.0837395545496573</c:v>
                </c:pt>
                <c:pt idx="1">
                  <c:v>-4.0409079668398666</c:v>
                </c:pt>
                <c:pt idx="2">
                  <c:v>-2.0037453505756821</c:v>
                </c:pt>
                <c:pt idx="3">
                  <c:v>2.9882941403270542E-2</c:v>
                </c:pt>
                <c:pt idx="4">
                  <c:v>2.0658151310273936</c:v>
                </c:pt>
                <c:pt idx="5">
                  <c:v>4.102892199411512</c:v>
                </c:pt>
                <c:pt idx="6">
                  <c:v>6.1375469576934263</c:v>
                </c:pt>
                <c:pt idx="7">
                  <c:v>8.1717695177911747</c:v>
                </c:pt>
                <c:pt idx="8">
                  <c:v>10.199912157306201</c:v>
                </c:pt>
              </c:numCache>
            </c:numRef>
          </c:xVal>
          <c:yVal>
            <c:numRef>
              <c:f>'Beta Data'!$J$11:$J$19</c:f>
              <c:numCache>
                <c:formatCode>General</c:formatCode>
                <c:ptCount val="9"/>
                <c:pt idx="0">
                  <c:v>-5.79E-3</c:v>
                </c:pt>
                <c:pt idx="1">
                  <c:v>-6.1600000000000005E-3</c:v>
                </c:pt>
                <c:pt idx="2">
                  <c:v>-6.7599999999999995E-3</c:v>
                </c:pt>
                <c:pt idx="3">
                  <c:v>-7.3499999999999998E-3</c:v>
                </c:pt>
                <c:pt idx="4">
                  <c:v>-7.62E-3</c:v>
                </c:pt>
                <c:pt idx="5">
                  <c:v>-8.0499999999999999E-3</c:v>
                </c:pt>
                <c:pt idx="6">
                  <c:v>-6.4000000000000003E-3</c:v>
                </c:pt>
                <c:pt idx="7">
                  <c:v>-5.2699999999999995E-3</c:v>
                </c:pt>
                <c:pt idx="8">
                  <c:v>-4.2300000000000003E-3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E1F5-4983-8315-06F89A07B3C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954956504"/>
        <c:axId val="954950384"/>
      </c:scatterChart>
      <c:valAx>
        <c:axId val="954956504"/>
        <c:scaling>
          <c:orientation val="minMax"/>
        </c:scaling>
        <c:delete val="0"/>
        <c:axPos val="b"/>
        <c:majorGridlines>
          <c:spPr>
            <a:ln w="3175">
              <a:solidFill>
                <a:srgbClr val="808080"/>
              </a:solidFill>
              <a:prstDash val="sysDash"/>
            </a:ln>
          </c:spPr>
        </c:majorGridlines>
        <c:title>
          <c:tx>
            <c:rich>
              <a:bodyPr/>
              <a:lstStyle/>
              <a:p>
                <a:pPr>
                  <a:defRPr sz="1400" b="1" i="0"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Pitch Angle of Attack, Alpha (deg)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1600"/>
            </a:pPr>
            <a:endParaRPr lang="en-US"/>
          </a:p>
        </c:txPr>
        <c:crossAx val="954950384"/>
        <c:crosses val="autoZero"/>
        <c:crossBetween val="midCat"/>
      </c:valAx>
      <c:valAx>
        <c:axId val="954950384"/>
        <c:scaling>
          <c:orientation val="minMax"/>
        </c:scaling>
        <c:delete val="0"/>
        <c:axPos val="l"/>
        <c:majorGridlines>
          <c:spPr>
            <a:ln w="3175">
              <a:solidFill>
                <a:srgbClr val="808080"/>
              </a:solidFill>
              <a:prstDash val="sysDash"/>
            </a:ln>
          </c:spPr>
        </c:majorGridlines>
        <c:title>
          <c:tx>
            <c:rich>
              <a:bodyPr/>
              <a:lstStyle/>
              <a:p>
                <a:pPr>
                  <a:defRPr sz="1400" b="1" i="0">
                    <a:latin typeface="Arial" panose="020B0604020202020204" pitchFamily="34" charset="0"/>
                  </a:defRPr>
                </a:pPr>
                <a:r>
                  <a:rPr lang="en-US" sz="1400" b="1" i="0">
                    <a:latin typeface="Arial" panose="020B0604020202020204" pitchFamily="34" charset="0"/>
                  </a:rPr>
                  <a:t>Derivative of CY wrt Beta, CYb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1600"/>
            </a:pPr>
            <a:endParaRPr lang="en-US"/>
          </a:p>
        </c:txPr>
        <c:crossAx val="954956504"/>
        <c:crosses val="autoZero"/>
        <c:crossBetween val="midCat"/>
      </c:valAx>
      <c:spPr>
        <a:solidFill>
          <a:srgbClr val="FFFFFF"/>
        </a:solidFill>
        <a:ln>
          <a:solidFill>
            <a:srgbClr val="000000"/>
          </a:solidFill>
          <a:prstDash val="solid"/>
        </a:ln>
      </c:spPr>
    </c:plotArea>
    <c:legend>
      <c:legendPos val="b"/>
      <c:overlay val="0"/>
      <c:txPr>
        <a:bodyPr/>
        <a:lstStyle/>
        <a:p>
          <a:pPr>
            <a:defRPr sz="1000"/>
          </a:pPr>
          <a:endParaRPr lang="en-US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userShapes r:id="rId1"/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600" b="1" i="0">
                <a:latin typeface="Arial" panose="020B0604020202020204" pitchFamily="34" charset="0"/>
              </a:defRPr>
            </a:pPr>
            <a:r>
              <a:rPr lang="en-US" sz="1600" b="1" i="0">
                <a:latin typeface="Arial" panose="020B0604020202020204" pitchFamily="34" charset="0"/>
              </a:rPr>
              <a:t>Directional (Yaw) Static Stability Derivative vs AoA (Cnb vs. Alpha) Comparison</a:t>
            </a:r>
          </a:p>
        </c:rich>
      </c:tx>
      <c:overlay val="0"/>
    </c:title>
    <c:autoTitleDeleted val="0"/>
    <c:plotArea>
      <c:layout>
        <c:manualLayout>
          <c:xMode val="edge"/>
          <c:yMode val="edge"/>
          <c:x val="3.5229357798165141E-2"/>
          <c:y val="4.4500628567396713E-2"/>
          <c:w val="0.96477064220183484"/>
          <c:h val="0.86978501290820842"/>
        </c:manualLayout>
      </c:layout>
      <c:scatterChart>
        <c:scatterStyle val="smoothMarker"/>
        <c:varyColors val="0"/>
        <c:ser>
          <c:idx val="0"/>
          <c:order val="0"/>
          <c:tx>
            <c:v>Beta = 0</c:v>
          </c:tx>
          <c:spPr>
            <a:ln w="12700">
              <a:solidFill>
                <a:srgbClr val="0000FF"/>
              </a:solidFill>
              <a:prstDash val="solid"/>
            </a:ln>
          </c:spPr>
          <c:marker>
            <c:symbol val="diamond"/>
            <c:size val="5"/>
            <c:spPr>
              <a:solidFill>
                <a:srgbClr val="FFFFFF"/>
              </a:solidFill>
              <a:ln>
                <a:solidFill>
                  <a:srgbClr val="0000FF"/>
                </a:solidFill>
                <a:prstDash val="solid"/>
              </a:ln>
            </c:spPr>
          </c:marker>
          <c:xVal>
            <c:numRef>
              <c:f>'Beta Data'!$B$2:$B$10</c:f>
              <c:numCache>
                <c:formatCode>General</c:formatCode>
                <c:ptCount val="9"/>
                <c:pt idx="0">
                  <c:v>-6.0973447219854826</c:v>
                </c:pt>
                <c:pt idx="1">
                  <c:v>-4.0514228665171883</c:v>
                </c:pt>
                <c:pt idx="2">
                  <c:v>-2.0089888413816372</c:v>
                </c:pt>
                <c:pt idx="3">
                  <c:v>2.9185672770527558E-2</c:v>
                </c:pt>
                <c:pt idx="4">
                  <c:v>2.0669575823584352</c:v>
                </c:pt>
                <c:pt idx="5">
                  <c:v>4.1014555726503499</c:v>
                </c:pt>
                <c:pt idx="6">
                  <c:v>6.1283079917851397</c:v>
                </c:pt>
                <c:pt idx="7">
                  <c:v>8.1515671361806241</c:v>
                </c:pt>
                <c:pt idx="8">
                  <c:v>10.173227717429782</c:v>
                </c:pt>
              </c:numCache>
            </c:numRef>
          </c:xVal>
          <c:yVal>
            <c:numRef>
              <c:f>'Beta Data'!$H$2:$H$10</c:f>
              <c:numCache>
                <c:formatCode>General</c:formatCode>
                <c:ptCount val="9"/>
                <c:pt idx="0">
                  <c:v>1.7055969684613176E-3</c:v>
                </c:pt>
                <c:pt idx="1">
                  <c:v>1.7132710274744098E-3</c:v>
                </c:pt>
                <c:pt idx="2">
                  <c:v>1.6950613993236886E-3</c:v>
                </c:pt>
                <c:pt idx="3">
                  <c:v>1.6454329187968238E-3</c:v>
                </c:pt>
                <c:pt idx="4">
                  <c:v>1.660768469993618E-3</c:v>
                </c:pt>
                <c:pt idx="5">
                  <c:v>1.7626693347388E-3</c:v>
                </c:pt>
                <c:pt idx="6">
                  <c:v>1.5744089276326753E-3</c:v>
                </c:pt>
                <c:pt idx="7">
                  <c:v>1.3920590897268709E-3</c:v>
                </c:pt>
                <c:pt idx="8">
                  <c:v>1.5712427370881215E-3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42B6-4B91-9F69-75BFE8C6B583}"/>
            </c:ext>
          </c:extLst>
        </c:ser>
        <c:ser>
          <c:idx val="1"/>
          <c:order val="1"/>
          <c:tx>
            <c:v>Beta = 10</c:v>
          </c:tx>
          <c:spPr>
            <a:ln w="12700">
              <a:solidFill>
                <a:srgbClr val="FF0000"/>
              </a:solidFill>
              <a:prstDash val="solid"/>
            </a:ln>
          </c:spPr>
          <c:marker>
            <c:symbol val="square"/>
            <c:size val="5"/>
            <c:spPr>
              <a:solidFill>
                <a:srgbClr val="FFFFFF"/>
              </a:solidFill>
              <a:ln>
                <a:solidFill>
                  <a:srgbClr val="FF0000"/>
                </a:solidFill>
                <a:prstDash val="solid"/>
              </a:ln>
            </c:spPr>
          </c:marker>
          <c:xVal>
            <c:numRef>
              <c:f>'Beta Data'!$B$11:$B$19</c:f>
              <c:numCache>
                <c:formatCode>General</c:formatCode>
                <c:ptCount val="9"/>
                <c:pt idx="0">
                  <c:v>-6.0837395545496573</c:v>
                </c:pt>
                <c:pt idx="1">
                  <c:v>-4.0409079668398666</c:v>
                </c:pt>
                <c:pt idx="2">
                  <c:v>-2.0037453505756821</c:v>
                </c:pt>
                <c:pt idx="3">
                  <c:v>2.9882941403270542E-2</c:v>
                </c:pt>
                <c:pt idx="4">
                  <c:v>2.0658151310273936</c:v>
                </c:pt>
                <c:pt idx="5">
                  <c:v>4.102892199411512</c:v>
                </c:pt>
                <c:pt idx="6">
                  <c:v>6.1375469576934263</c:v>
                </c:pt>
                <c:pt idx="7">
                  <c:v>8.1717695177911747</c:v>
                </c:pt>
                <c:pt idx="8">
                  <c:v>10.199912157306201</c:v>
                </c:pt>
              </c:numCache>
            </c:numRef>
          </c:xVal>
          <c:yVal>
            <c:numRef>
              <c:f>'Beta Data'!$H$11:$H$19</c:f>
              <c:numCache>
                <c:formatCode>General</c:formatCode>
                <c:ptCount val="9"/>
                <c:pt idx="0">
                  <c:v>1.7055969684613176E-3</c:v>
                </c:pt>
                <c:pt idx="1">
                  <c:v>1.7132710274744098E-3</c:v>
                </c:pt>
                <c:pt idx="2">
                  <c:v>1.6950613993236886E-3</c:v>
                </c:pt>
                <c:pt idx="3">
                  <c:v>1.6454329187968238E-3</c:v>
                </c:pt>
                <c:pt idx="4">
                  <c:v>1.660768469993618E-3</c:v>
                </c:pt>
                <c:pt idx="5">
                  <c:v>1.7626693347388E-3</c:v>
                </c:pt>
                <c:pt idx="6">
                  <c:v>1.5744089276326753E-3</c:v>
                </c:pt>
                <c:pt idx="7">
                  <c:v>1.3920590897268709E-3</c:v>
                </c:pt>
                <c:pt idx="8">
                  <c:v>1.5712427370881215E-3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42B6-4B91-9F69-75BFE8C6B58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954959384"/>
        <c:axId val="954965504"/>
      </c:scatterChart>
      <c:valAx>
        <c:axId val="954959384"/>
        <c:scaling>
          <c:orientation val="minMax"/>
        </c:scaling>
        <c:delete val="0"/>
        <c:axPos val="b"/>
        <c:majorGridlines>
          <c:spPr>
            <a:ln w="3175">
              <a:solidFill>
                <a:srgbClr val="808080"/>
              </a:solidFill>
              <a:prstDash val="sysDash"/>
            </a:ln>
          </c:spPr>
        </c:majorGridlines>
        <c:title>
          <c:tx>
            <c:rich>
              <a:bodyPr/>
              <a:lstStyle/>
              <a:p>
                <a:pPr>
                  <a:defRPr sz="1400" b="1" i="0"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Pitch Angle of Attack, Alpha (deg)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1600"/>
            </a:pPr>
            <a:endParaRPr lang="en-US"/>
          </a:p>
        </c:txPr>
        <c:crossAx val="954965504"/>
        <c:crosses val="autoZero"/>
        <c:crossBetween val="midCat"/>
      </c:valAx>
      <c:valAx>
        <c:axId val="954965504"/>
        <c:scaling>
          <c:orientation val="minMax"/>
        </c:scaling>
        <c:delete val="0"/>
        <c:axPos val="l"/>
        <c:majorGridlines>
          <c:spPr>
            <a:ln w="3175">
              <a:solidFill>
                <a:srgbClr val="808080"/>
              </a:solidFill>
              <a:prstDash val="sysDash"/>
            </a:ln>
          </c:spPr>
        </c:majorGridlines>
        <c:title>
          <c:tx>
            <c:rich>
              <a:bodyPr/>
              <a:lstStyle/>
              <a:p>
                <a:pPr>
                  <a:defRPr sz="1400" b="1" i="0">
                    <a:latin typeface="Arial" panose="020B0604020202020204" pitchFamily="34" charset="0"/>
                  </a:defRPr>
                </a:pPr>
                <a:r>
                  <a:rPr lang="en-US" sz="1400" b="1" i="0">
                    <a:latin typeface="Arial" panose="020B0604020202020204" pitchFamily="34" charset="0"/>
                  </a:rPr>
                  <a:t>Directional Static Stability Derivative, Cnb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1600"/>
            </a:pPr>
            <a:endParaRPr lang="en-US"/>
          </a:p>
        </c:txPr>
        <c:crossAx val="954959384"/>
        <c:crosses val="autoZero"/>
        <c:crossBetween val="midCat"/>
      </c:valAx>
      <c:spPr>
        <a:solidFill>
          <a:srgbClr val="FFFFFF"/>
        </a:solidFill>
        <a:ln>
          <a:solidFill>
            <a:srgbClr val="000000"/>
          </a:solidFill>
          <a:prstDash val="solid"/>
        </a:ln>
      </c:spPr>
    </c:plotArea>
    <c:legend>
      <c:legendPos val="b"/>
      <c:overlay val="0"/>
      <c:txPr>
        <a:bodyPr/>
        <a:lstStyle/>
        <a:p>
          <a:pPr>
            <a:defRPr sz="1000"/>
          </a:pPr>
          <a:endParaRPr lang="en-US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userShapes r:id="rId1"/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600" b="1" i="0">
                <a:latin typeface="Arial" panose="020B0604020202020204" pitchFamily="34" charset="0"/>
              </a:defRPr>
            </a:pPr>
            <a:r>
              <a:rPr lang="en-US" sz="1600" b="1" i="0">
                <a:latin typeface="Arial" panose="020B0604020202020204" pitchFamily="34" charset="0"/>
              </a:rPr>
              <a:t>Lateral (Roll) Static Stability Derivative vs AoA (Clb vs. Alpha) Comparison</a:t>
            </a:r>
          </a:p>
        </c:rich>
      </c:tx>
      <c:overlay val="0"/>
    </c:title>
    <c:autoTitleDeleted val="0"/>
    <c:plotArea>
      <c:layout>
        <c:manualLayout>
          <c:xMode val="edge"/>
          <c:yMode val="edge"/>
          <c:x val="3.5229357798165141E-2"/>
          <c:y val="4.4500628567396713E-2"/>
          <c:w val="0.96477064220183484"/>
          <c:h val="0.86978501290820842"/>
        </c:manualLayout>
      </c:layout>
      <c:scatterChart>
        <c:scatterStyle val="smoothMarker"/>
        <c:varyColors val="0"/>
        <c:ser>
          <c:idx val="0"/>
          <c:order val="0"/>
          <c:tx>
            <c:v>Beta = 0</c:v>
          </c:tx>
          <c:spPr>
            <a:ln w="12700">
              <a:solidFill>
                <a:srgbClr val="0000FF"/>
              </a:solidFill>
              <a:prstDash val="solid"/>
            </a:ln>
          </c:spPr>
          <c:marker>
            <c:symbol val="diamond"/>
            <c:size val="5"/>
            <c:spPr>
              <a:solidFill>
                <a:srgbClr val="FFFFFF"/>
              </a:solidFill>
              <a:ln>
                <a:solidFill>
                  <a:srgbClr val="0000FF"/>
                </a:solidFill>
                <a:prstDash val="solid"/>
              </a:ln>
            </c:spPr>
          </c:marker>
          <c:xVal>
            <c:numRef>
              <c:f>'Beta Data'!$B$2:$B$10</c:f>
              <c:numCache>
                <c:formatCode>General</c:formatCode>
                <c:ptCount val="9"/>
                <c:pt idx="0">
                  <c:v>-6.0973447219854826</c:v>
                </c:pt>
                <c:pt idx="1">
                  <c:v>-4.0514228665171883</c:v>
                </c:pt>
                <c:pt idx="2">
                  <c:v>-2.0089888413816372</c:v>
                </c:pt>
                <c:pt idx="3">
                  <c:v>2.9185672770527558E-2</c:v>
                </c:pt>
                <c:pt idx="4">
                  <c:v>2.0669575823584352</c:v>
                </c:pt>
                <c:pt idx="5">
                  <c:v>4.1014555726503499</c:v>
                </c:pt>
                <c:pt idx="6">
                  <c:v>6.1283079917851397</c:v>
                </c:pt>
                <c:pt idx="7">
                  <c:v>8.1515671361806241</c:v>
                </c:pt>
                <c:pt idx="8">
                  <c:v>10.173227717429782</c:v>
                </c:pt>
              </c:numCache>
            </c:numRef>
          </c:xVal>
          <c:yVal>
            <c:numRef>
              <c:f>'Beta Data'!$I$2:$I$10</c:f>
              <c:numCache>
                <c:formatCode>General</c:formatCode>
                <c:ptCount val="9"/>
                <c:pt idx="0">
                  <c:v>6.8999999999999997E-4</c:v>
                </c:pt>
                <c:pt idx="1">
                  <c:v>4.8999999999999998E-4</c:v>
                </c:pt>
                <c:pt idx="2">
                  <c:v>1.7999999999999998E-4</c:v>
                </c:pt>
                <c:pt idx="3">
                  <c:v>-1.3999999999999999E-4</c:v>
                </c:pt>
                <c:pt idx="4">
                  <c:v>-4.1999999999999996E-4</c:v>
                </c:pt>
                <c:pt idx="5">
                  <c:v>-6.9999999999999999E-4</c:v>
                </c:pt>
                <c:pt idx="6">
                  <c:v>-9.0000000000000008E-4</c:v>
                </c:pt>
                <c:pt idx="7">
                  <c:v>-1.2899999999999999E-3</c:v>
                </c:pt>
                <c:pt idx="8">
                  <c:v>-1.4700000000000002E-3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E8C7-4990-9644-B0AA0E1902DE}"/>
            </c:ext>
          </c:extLst>
        </c:ser>
        <c:ser>
          <c:idx val="1"/>
          <c:order val="1"/>
          <c:tx>
            <c:v>Beta = 10</c:v>
          </c:tx>
          <c:spPr>
            <a:ln w="12700">
              <a:solidFill>
                <a:srgbClr val="FF0000"/>
              </a:solidFill>
              <a:prstDash val="solid"/>
            </a:ln>
          </c:spPr>
          <c:marker>
            <c:symbol val="square"/>
            <c:size val="5"/>
            <c:spPr>
              <a:solidFill>
                <a:srgbClr val="FFFFFF"/>
              </a:solidFill>
              <a:ln>
                <a:solidFill>
                  <a:srgbClr val="FF0000"/>
                </a:solidFill>
                <a:prstDash val="solid"/>
              </a:ln>
            </c:spPr>
          </c:marker>
          <c:xVal>
            <c:numRef>
              <c:f>'Beta Data'!$B$11:$B$19</c:f>
              <c:numCache>
                <c:formatCode>General</c:formatCode>
                <c:ptCount val="9"/>
                <c:pt idx="0">
                  <c:v>-6.0837395545496573</c:v>
                </c:pt>
                <c:pt idx="1">
                  <c:v>-4.0409079668398666</c:v>
                </c:pt>
                <c:pt idx="2">
                  <c:v>-2.0037453505756821</c:v>
                </c:pt>
                <c:pt idx="3">
                  <c:v>2.9882941403270542E-2</c:v>
                </c:pt>
                <c:pt idx="4">
                  <c:v>2.0658151310273936</c:v>
                </c:pt>
                <c:pt idx="5">
                  <c:v>4.102892199411512</c:v>
                </c:pt>
                <c:pt idx="6">
                  <c:v>6.1375469576934263</c:v>
                </c:pt>
                <c:pt idx="7">
                  <c:v>8.1717695177911747</c:v>
                </c:pt>
                <c:pt idx="8">
                  <c:v>10.199912157306201</c:v>
                </c:pt>
              </c:numCache>
            </c:numRef>
          </c:xVal>
          <c:yVal>
            <c:numRef>
              <c:f>'Beta Data'!$I$11:$I$19</c:f>
              <c:numCache>
                <c:formatCode>General</c:formatCode>
                <c:ptCount val="9"/>
                <c:pt idx="0">
                  <c:v>6.8999999999999997E-4</c:v>
                </c:pt>
                <c:pt idx="1">
                  <c:v>4.8999999999999998E-4</c:v>
                </c:pt>
                <c:pt idx="2">
                  <c:v>1.7999999999999998E-4</c:v>
                </c:pt>
                <c:pt idx="3">
                  <c:v>-1.3999999999999999E-4</c:v>
                </c:pt>
                <c:pt idx="4">
                  <c:v>-4.1999999999999996E-4</c:v>
                </c:pt>
                <c:pt idx="5">
                  <c:v>-6.9999999999999999E-4</c:v>
                </c:pt>
                <c:pt idx="6">
                  <c:v>-9.0000000000000008E-4</c:v>
                </c:pt>
                <c:pt idx="7">
                  <c:v>-1.2899999999999999E-3</c:v>
                </c:pt>
                <c:pt idx="8">
                  <c:v>-1.4700000000000002E-3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E8C7-4990-9644-B0AA0E1902D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954959384"/>
        <c:axId val="954967664"/>
      </c:scatterChart>
      <c:valAx>
        <c:axId val="954959384"/>
        <c:scaling>
          <c:orientation val="minMax"/>
        </c:scaling>
        <c:delete val="0"/>
        <c:axPos val="b"/>
        <c:majorGridlines>
          <c:spPr>
            <a:ln w="3175">
              <a:solidFill>
                <a:srgbClr val="808080"/>
              </a:solidFill>
              <a:prstDash val="sysDash"/>
            </a:ln>
          </c:spPr>
        </c:majorGridlines>
        <c:title>
          <c:tx>
            <c:rich>
              <a:bodyPr/>
              <a:lstStyle/>
              <a:p>
                <a:pPr>
                  <a:defRPr sz="1400" b="1" i="0"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Pitch Angle of Attack, Alpha (deg)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1600"/>
            </a:pPr>
            <a:endParaRPr lang="en-US"/>
          </a:p>
        </c:txPr>
        <c:crossAx val="954967664"/>
        <c:crosses val="autoZero"/>
        <c:crossBetween val="midCat"/>
      </c:valAx>
      <c:valAx>
        <c:axId val="954967664"/>
        <c:scaling>
          <c:orientation val="minMax"/>
        </c:scaling>
        <c:delete val="0"/>
        <c:axPos val="l"/>
        <c:majorGridlines>
          <c:spPr>
            <a:ln w="3175">
              <a:solidFill>
                <a:srgbClr val="808080"/>
              </a:solidFill>
              <a:prstDash val="sysDash"/>
            </a:ln>
          </c:spPr>
        </c:majorGridlines>
        <c:title>
          <c:tx>
            <c:rich>
              <a:bodyPr/>
              <a:lstStyle/>
              <a:p>
                <a:pPr>
                  <a:defRPr sz="1400" b="1" i="0">
                    <a:latin typeface="Arial" panose="020B0604020202020204" pitchFamily="34" charset="0"/>
                  </a:defRPr>
                </a:pPr>
                <a:r>
                  <a:rPr lang="en-US" sz="1400" b="1" i="0">
                    <a:latin typeface="Arial" panose="020B0604020202020204" pitchFamily="34" charset="0"/>
                  </a:rPr>
                  <a:t>Lateral Static Stability Derivative, Clb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1600"/>
            </a:pPr>
            <a:endParaRPr lang="en-US"/>
          </a:p>
        </c:txPr>
        <c:crossAx val="954959384"/>
        <c:crosses val="autoZero"/>
        <c:crossBetween val="midCat"/>
      </c:valAx>
      <c:spPr>
        <a:solidFill>
          <a:srgbClr val="FFFFFF"/>
        </a:solidFill>
        <a:ln>
          <a:solidFill>
            <a:srgbClr val="000000"/>
          </a:solidFill>
          <a:prstDash val="solid"/>
        </a:ln>
      </c:spPr>
    </c:plotArea>
    <c:legend>
      <c:legendPos val="b"/>
      <c:overlay val="0"/>
      <c:txPr>
        <a:bodyPr/>
        <a:lstStyle/>
        <a:p>
          <a:pPr>
            <a:defRPr sz="1000"/>
          </a:pPr>
          <a:endParaRPr lang="en-US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userShapes r:id="rId1"/>
</c:chartSpace>
</file>

<file path=xl/chart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chart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2.bin"/></Relationships>
</file>

<file path=xl/chart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3.bin"/></Relationships>
</file>

<file path=xl/chart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4.bin"/></Relationships>
</file>

<file path=xl/chart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5.bin"/></Relationships>
</file>

<file path=xl/chart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6.bin"/></Relationships>
</file>

<file path=xl/chartsheets/_rels/sheet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3.xml"/><Relationship Id="rId1" Type="http://schemas.openxmlformats.org/officeDocument/2006/relationships/printerSettings" Target="../printerSettings/printerSettings7.bin"/></Relationships>
</file>

<file path=xl/chartsheets/_rels/sheet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5.xml"/><Relationship Id="rId1" Type="http://schemas.openxmlformats.org/officeDocument/2006/relationships/printerSettings" Target="../printerSettings/printerSettings8.bin"/></Relationships>
</file>

<file path=xl/chartsheets/_rels/sheet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7.xml"/><Relationship Id="rId1" Type="http://schemas.openxmlformats.org/officeDocument/2006/relationships/printerSettings" Target="../printerSettings/printerSettings9.bin"/></Relationships>
</file>

<file path=xl/chartsheets/_rels/sheet1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9.xml"/><Relationship Id="rId1" Type="http://schemas.openxmlformats.org/officeDocument/2006/relationships/printerSettings" Target="../printerSettings/printerSettings10.bin"/></Relationships>
</file>

<file path=xl/chartsheets/sheet1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3062D9DA-FCF5-4DF4-BD7D-E032340740CE}">
  <sheetPr/>
  <sheetViews>
    <sheetView zoomScale="98" workbookViewId="0"/>
  </sheetViews>
  <pageMargins left="0.5" right="0.5" top="0.5" bottom="0.5" header="0.25" footer="0.25"/>
  <pageSetup orientation="landscape" horizontalDpi="1200" verticalDpi="1200" r:id="rId1"/>
  <headerFooter>
    <oddHeader>&amp;C&amp;"Arial,Bold"UNCLASSIFIED</oddHeader>
    <oddFooter>&amp;C&amp;"Arial,Bold"UNCLASSIFIED</oddFooter>
  </headerFooter>
  <drawing r:id="rId2"/>
</chartsheet>
</file>

<file path=xl/chartsheets/sheet2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61550DCF-875B-4CF5-B23C-62C105F37382}">
  <sheetPr/>
  <sheetViews>
    <sheetView zoomScale="98" workbookViewId="0"/>
  </sheetViews>
  <pageMargins left="0.5" right="0.5" top="0.5" bottom="0.5" header="0.25" footer="0.25"/>
  <pageSetup orientation="landscape" horizontalDpi="1200" verticalDpi="1200" r:id="rId1"/>
  <headerFooter>
    <oddHeader>&amp;C&amp;"Arial,Bold"UNCLASSIFIED</oddHeader>
    <oddFooter>&amp;C&amp;"Arial,Bold"UNCLASSIFIED</oddFooter>
  </headerFooter>
  <drawing r:id="rId2"/>
</chartsheet>
</file>

<file path=xl/chartsheets/sheet3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C4E6521B-AC60-418A-B580-E6352EB7EE2D}">
  <sheetPr/>
  <sheetViews>
    <sheetView zoomScale="98" workbookViewId="0"/>
  </sheetViews>
  <pageMargins left="0.5" right="0.5" top="0.5" bottom="0.5" header="0.25" footer="0.25"/>
  <pageSetup orientation="landscape" horizontalDpi="1200" verticalDpi="1200" r:id="rId1"/>
  <headerFooter>
    <oddHeader>&amp;C&amp;"Arial,Bold"UNCLASSIFIED</oddHeader>
    <oddFooter>&amp;C&amp;"Arial,Bold"UNCLASSIFIED</oddFooter>
  </headerFooter>
  <drawing r:id="rId2"/>
</chartsheet>
</file>

<file path=xl/chartsheets/sheet4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12CDCC3E-ED1F-4A5C-980A-B60864187648}">
  <sheetPr/>
  <sheetViews>
    <sheetView zoomScale="89" workbookViewId="0" zoomToFit="1"/>
  </sheetViews>
  <pageMargins left="0.5" right="0.5" top="0.5" bottom="0.5" header="0.25" footer="0.25"/>
  <pageSetup orientation="landscape" horizontalDpi="1200" verticalDpi="1200" r:id="rId1"/>
  <headerFooter>
    <oddHeader>&amp;C&amp;"Arial,Bold"UNCLASSIFIED</oddHeader>
    <oddFooter>&amp;C&amp;"Arial,Bold"UNCLASSIFIED</oddFooter>
  </headerFooter>
  <drawing r:id="rId2"/>
</chartsheet>
</file>

<file path=xl/chartsheets/sheet5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239E750F-2020-4B3A-958C-065DC2994028}">
  <sheetPr/>
  <sheetViews>
    <sheetView zoomScale="98" workbookViewId="0"/>
  </sheetViews>
  <pageMargins left="0.5" right="0.5" top="0.5" bottom="0.5" header="0.25" footer="0.25"/>
  <pageSetup orientation="landscape" horizontalDpi="1200" verticalDpi="1200" r:id="rId1"/>
  <headerFooter>
    <oddHeader>&amp;C&amp;"Arial,Bold"UNCLASSIFIED</oddHeader>
    <oddFooter>&amp;C&amp;"Arial,Bold"UNCLASSIFIED</oddFooter>
  </headerFooter>
  <drawing r:id="rId2"/>
</chartsheet>
</file>

<file path=xl/chartsheets/sheet6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D982D60B-D275-402B-A4D1-BE2CC3791AF6}">
  <sheetPr/>
  <sheetViews>
    <sheetView zoomScale="89" workbookViewId="0" zoomToFit="1"/>
  </sheetViews>
  <pageMargins left="0.5" right="0.5" top="0.5" bottom="0.5" header="0.25" footer="0.25"/>
  <pageSetup orientation="landscape" horizontalDpi="1200" verticalDpi="1200" r:id="rId1"/>
  <headerFooter>
    <oddHeader>&amp;C&amp;"Arial,Bold"UNCLASSIFIED</oddHeader>
    <oddFooter>&amp;C&amp;"Arial,Bold"UNCLASSIFIED</oddFooter>
  </headerFooter>
  <drawing r:id="rId2"/>
</chartsheet>
</file>

<file path=xl/chartsheets/sheet7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739C81C7-D7AF-4CCE-986D-FCE8CFC3D69D}">
  <sheetPr/>
  <sheetViews>
    <sheetView zoomScale="89" workbookViewId="0" zoomToFit="1"/>
  </sheetViews>
  <pageMargins left="0.5" right="0.5" top="0.5" bottom="0.5" header="0.25" footer="0.25"/>
  <pageSetup orientation="landscape" horizontalDpi="1200" verticalDpi="1200" r:id="rId1"/>
  <headerFooter>
    <oddHeader>&amp;C&amp;"Arial,Bold"UNCLASSIFIED</oddHeader>
    <oddFooter>&amp;C&amp;"Arial,Bold"UNCLASSIFIED</oddFooter>
  </headerFooter>
  <drawing r:id="rId2"/>
</chartsheet>
</file>

<file path=xl/chartsheets/sheet8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618444FE-5045-4E32-B7F0-00614126BAC0}">
  <sheetPr/>
  <sheetViews>
    <sheetView zoomScale="89" workbookViewId="0" zoomToFit="1"/>
  </sheetViews>
  <pageMargins left="0.5" right="0.5" top="0.5" bottom="0.5" header="0.25" footer="0.25"/>
  <pageSetup orientation="landscape" horizontalDpi="1200" verticalDpi="1200" r:id="rId1"/>
  <headerFooter>
    <oddHeader>&amp;C&amp;"Arial,Bold"UNCLASSIFIED</oddHeader>
    <oddFooter>&amp;C&amp;"Arial,Bold"UNCLASSIFIED</oddFooter>
  </headerFooter>
  <drawing r:id="rId2"/>
</chartsheet>
</file>

<file path=xl/chartsheets/sheet9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20935E7B-AD72-4F00-ACAD-E1D3B60C6F85}">
  <sheetPr/>
  <sheetViews>
    <sheetView zoomScale="89" workbookViewId="0" zoomToFit="1"/>
  </sheetViews>
  <pageMargins left="0.5" right="0.5" top="0.5" bottom="0.5" header="0.25" footer="0.25"/>
  <pageSetup orientation="landscape" horizontalDpi="1200" verticalDpi="1200" r:id="rId1"/>
  <headerFooter>
    <oddHeader>&amp;C&amp;"Arial,Bold"UNCLASSIFIED</oddHeader>
    <oddFooter>&amp;C&amp;"Arial,Bold"UNCLASSIFIED</oddFooter>
  </headerFooter>
  <drawing r:id="rId2"/>
</chartsheet>
</file>

<file path=xl/chartsheets/sheet10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8E256A0B-1F17-460E-8AF4-915F4C9AF144}">
  <sheetPr/>
  <sheetViews>
    <sheetView zoomScale="89" workbookViewId="0" zoomToFit="1"/>
  </sheetViews>
  <pageMargins left="0.5" right="0.5" top="0.5" bottom="0.5" header="0.25" footer="0.25"/>
  <pageSetup orientation="landscape" horizontalDpi="1200" verticalDpi="1200" r:id="rId1"/>
  <headerFooter>
    <oddHeader>&amp;C&amp;"Arial,Bold"UNCLASSIFIED</oddHeader>
    <oddFooter>&amp;C&amp;"Arial,Bold"UNCLASSIFIED</oddFooter>
  </headerFooter>
  <drawing r:id="rId2"/>
</chartsheet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.xml"/></Relationships>
</file>

<file path=xl/drawings/_rels/drawing7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.xml"/></Relationships>
</file>

<file path=xl/drawings/_rels/drawing9.xml.rels><?xml version="1.0" encoding="UTF-8" standalone="yes"?>
<Relationships xmlns="http://schemas.openxmlformats.org/package/2006/relationships"><Relationship Id="rId1" Type="http://schemas.openxmlformats.org/officeDocument/2006/relationships/chart" Target="../charts/chart5.xml"/></Relationships>
</file>

<file path=xl/drawings/_rels/drawing1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6.xml"/></Relationships>
</file>

<file path=xl/drawings/_rels/drawing1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7.xml"/></Relationships>
</file>

<file path=xl/drawings/_rels/drawing1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8.xml"/></Relationships>
</file>

<file path=xl/drawings/_rels/drawing17.xml.rels><?xml version="1.0" encoding="UTF-8" standalone="yes"?>
<Relationships xmlns="http://schemas.openxmlformats.org/package/2006/relationships"><Relationship Id="rId1" Type="http://schemas.openxmlformats.org/officeDocument/2006/relationships/chart" Target="../charts/chart9.xml"/></Relationships>
</file>

<file path=xl/drawings/_rels/drawing19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0.xml"/></Relationships>
</file>

<file path=xl/drawings/_rels/vmlDrawing1.vml.rels><?xml version="1.0" encoding="UTF-8" standalone="yes"?>
<Relationships xmlns="http://schemas.openxmlformats.org/package/2006/relationships"><Relationship Id="rId8" Type="http://schemas.openxmlformats.org/officeDocument/2006/relationships/image" Target="../media/image8.emf"/><Relationship Id="rId13" Type="http://schemas.openxmlformats.org/officeDocument/2006/relationships/image" Target="../media/image13.emf"/><Relationship Id="rId18" Type="http://schemas.openxmlformats.org/officeDocument/2006/relationships/image" Target="../media/image18.emf"/><Relationship Id="rId26" Type="http://schemas.openxmlformats.org/officeDocument/2006/relationships/image" Target="../media/image26.emf"/><Relationship Id="rId3" Type="http://schemas.openxmlformats.org/officeDocument/2006/relationships/image" Target="../media/image3.emf"/><Relationship Id="rId21" Type="http://schemas.openxmlformats.org/officeDocument/2006/relationships/image" Target="../media/image21.emf"/><Relationship Id="rId34" Type="http://schemas.openxmlformats.org/officeDocument/2006/relationships/image" Target="../media/image34.emf"/><Relationship Id="rId7" Type="http://schemas.openxmlformats.org/officeDocument/2006/relationships/image" Target="../media/image7.emf"/><Relationship Id="rId12" Type="http://schemas.openxmlformats.org/officeDocument/2006/relationships/image" Target="../media/image12.emf"/><Relationship Id="rId17" Type="http://schemas.openxmlformats.org/officeDocument/2006/relationships/image" Target="../media/image17.emf"/><Relationship Id="rId25" Type="http://schemas.openxmlformats.org/officeDocument/2006/relationships/image" Target="../media/image25.emf"/><Relationship Id="rId33" Type="http://schemas.openxmlformats.org/officeDocument/2006/relationships/image" Target="../media/image33.emf"/><Relationship Id="rId38" Type="http://schemas.openxmlformats.org/officeDocument/2006/relationships/image" Target="../media/image38.emf"/><Relationship Id="rId2" Type="http://schemas.openxmlformats.org/officeDocument/2006/relationships/image" Target="../media/image2.emf"/><Relationship Id="rId16" Type="http://schemas.openxmlformats.org/officeDocument/2006/relationships/image" Target="../media/image16.emf"/><Relationship Id="rId20" Type="http://schemas.openxmlformats.org/officeDocument/2006/relationships/image" Target="../media/image20.emf"/><Relationship Id="rId29" Type="http://schemas.openxmlformats.org/officeDocument/2006/relationships/image" Target="../media/image29.emf"/><Relationship Id="rId1" Type="http://schemas.openxmlformats.org/officeDocument/2006/relationships/image" Target="../media/image1.emf"/><Relationship Id="rId6" Type="http://schemas.openxmlformats.org/officeDocument/2006/relationships/image" Target="../media/image6.emf"/><Relationship Id="rId11" Type="http://schemas.openxmlformats.org/officeDocument/2006/relationships/image" Target="../media/image11.emf"/><Relationship Id="rId24" Type="http://schemas.openxmlformats.org/officeDocument/2006/relationships/image" Target="../media/image24.emf"/><Relationship Id="rId32" Type="http://schemas.openxmlformats.org/officeDocument/2006/relationships/image" Target="../media/image32.emf"/><Relationship Id="rId37" Type="http://schemas.openxmlformats.org/officeDocument/2006/relationships/image" Target="../media/image37.emf"/><Relationship Id="rId5" Type="http://schemas.openxmlformats.org/officeDocument/2006/relationships/image" Target="../media/image5.emf"/><Relationship Id="rId15" Type="http://schemas.openxmlformats.org/officeDocument/2006/relationships/image" Target="../media/image15.emf"/><Relationship Id="rId23" Type="http://schemas.openxmlformats.org/officeDocument/2006/relationships/image" Target="../media/image23.emf"/><Relationship Id="rId28" Type="http://schemas.openxmlformats.org/officeDocument/2006/relationships/image" Target="../media/image28.emf"/><Relationship Id="rId36" Type="http://schemas.openxmlformats.org/officeDocument/2006/relationships/image" Target="../media/image36.emf"/><Relationship Id="rId10" Type="http://schemas.openxmlformats.org/officeDocument/2006/relationships/image" Target="../media/image10.emf"/><Relationship Id="rId19" Type="http://schemas.openxmlformats.org/officeDocument/2006/relationships/image" Target="../media/image19.emf"/><Relationship Id="rId31" Type="http://schemas.openxmlformats.org/officeDocument/2006/relationships/image" Target="../media/image31.emf"/><Relationship Id="rId4" Type="http://schemas.openxmlformats.org/officeDocument/2006/relationships/image" Target="../media/image4.emf"/><Relationship Id="rId9" Type="http://schemas.openxmlformats.org/officeDocument/2006/relationships/image" Target="../media/image9.emf"/><Relationship Id="rId14" Type="http://schemas.openxmlformats.org/officeDocument/2006/relationships/image" Target="../media/image14.emf"/><Relationship Id="rId22" Type="http://schemas.openxmlformats.org/officeDocument/2006/relationships/image" Target="../media/image22.emf"/><Relationship Id="rId27" Type="http://schemas.openxmlformats.org/officeDocument/2006/relationships/image" Target="../media/image27.emf"/><Relationship Id="rId30" Type="http://schemas.openxmlformats.org/officeDocument/2006/relationships/image" Target="../media/image30.emf"/><Relationship Id="rId35" Type="http://schemas.openxmlformats.org/officeDocument/2006/relationships/image" Target="../media/image35.emf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39.emf"/></Relationships>
</file>

<file path=xl/drawings/drawing1.xml><?xml version="1.0" encoding="utf-8"?>
<xdr:wsDr xmlns:xdr="http://schemas.openxmlformats.org/drawingml/2006/spreadsheetDrawing" xmlns:a="http://schemas.openxmlformats.org/drawingml/2006/main">
  <xdr:absoluteAnchor>
    <xdr:pos x="0" y="0"/>
    <xdr:ext cx="8651875" cy="6278563"/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13B9F2B3-73C1-FF14-C982-FA276B3A3278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.xml><?xml version="1.0" encoding="utf-8"?>
<c:userShapes xmlns:c="http://schemas.openxmlformats.org/drawingml/2006/chart">
  <cdr:relSizeAnchor xmlns:cdr="http://schemas.openxmlformats.org/drawingml/2006/chartDrawing">
    <cdr:from>
      <cdr:x>0.68844</cdr:x>
      <cdr:y>0.71403</cdr:y>
    </cdr:from>
    <cdr:to>
      <cdr:x>0.97468</cdr:x>
      <cdr:y>0.8354</cdr:y>
    </cdr:to>
    <cdr:sp macro="" textlink="">
      <cdr:nvSpPr>
        <cdr:cNvPr id="2" name="ModelParams">
          <a:extLst xmlns:a="http://schemas.openxmlformats.org/drawingml/2006/main">
            <a:ext uri="{FF2B5EF4-FFF2-40B4-BE49-F238E27FC236}">
              <a16:creationId xmlns:a16="http://schemas.microsoft.com/office/drawing/2014/main" id="{37E86549-28CA-EBD6-6514-7ECD61A349F5}"/>
            </a:ext>
          </a:extLst>
        </cdr:cNvPr>
        <cdr:cNvSpPr/>
      </cdr:nvSpPr>
      <cdr:spPr bwMode="auto">
        <a:xfrm xmlns:a="http://schemas.openxmlformats.org/drawingml/2006/main">
          <a:off x="5956300" y="4483100"/>
          <a:ext cx="2476500" cy="762000"/>
        </a:xfrm>
        <a:prstGeom xmlns:a="http://schemas.openxmlformats.org/drawingml/2006/main" prst="rect">
          <a:avLst/>
        </a:prstGeom>
        <a:solidFill xmlns:a="http://schemas.openxmlformats.org/drawingml/2006/main">
          <a:srgbClr val="FFFFFF"/>
        </a:solidFill>
        <a:ln xmlns:a="http://schemas.openxmlformats.org/drawingml/2006/main"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 xmlns:a="http://schemas.openxmlformats.org/drawingml/2006/main"/>
      </cdr:spPr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pPr algn="ctr"/>
          <a:r>
            <a:rPr lang="en-US" kern="1200"/>
            <a:t>Wind Tunnel Model Parameters</a:t>
          </a:r>
        </a:p>
        <a:p xmlns:a="http://schemas.openxmlformats.org/drawingml/2006/main">
          <a:pPr algn="ctr"/>
          <a:r>
            <a:rPr lang="en-US" kern="1200"/>
            <a:t>(S, b, MAC, Mom Ref Ctr)</a:t>
          </a:r>
        </a:p>
        <a:p xmlns:a="http://schemas.openxmlformats.org/drawingml/2006/main">
          <a:pPr algn="ctr"/>
          <a:r>
            <a:rPr lang="en-US" kern="1200"/>
            <a:t>Run 1 (Blue):  81.5, 12, 8.2, FS 384</a:t>
          </a:r>
        </a:p>
        <a:p xmlns:a="http://schemas.openxmlformats.org/drawingml/2006/main">
          <a:pPr algn="ctr"/>
          <a:r>
            <a:rPr lang="en-US" kern="1200"/>
            <a:t>Run 2 (Red):  81.5, 12, 8.2, FS 384</a:t>
          </a:r>
        </a:p>
      </cdr:txBody>
    </cdr:sp>
  </cdr:relSizeAnchor>
</c:userShapes>
</file>

<file path=xl/drawings/drawing3.xml><?xml version="1.0" encoding="utf-8"?>
<xdr:wsDr xmlns:xdr="http://schemas.openxmlformats.org/drawingml/2006/spreadsheetDrawing" xmlns:a="http://schemas.openxmlformats.org/drawingml/2006/main">
  <xdr:absoluteAnchor>
    <xdr:pos x="0" y="0"/>
    <xdr:ext cx="8651875" cy="6278563"/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2D828B93-A748-C1E9-A66F-4E3A6298CBD3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4.xml><?xml version="1.0" encoding="utf-8"?>
<c:userShapes xmlns:c="http://schemas.openxmlformats.org/drawingml/2006/chart">
  <cdr:relSizeAnchor xmlns:cdr="http://schemas.openxmlformats.org/drawingml/2006/chartDrawing">
    <cdr:from>
      <cdr:x>0.68844</cdr:x>
      <cdr:y>0.71403</cdr:y>
    </cdr:from>
    <cdr:to>
      <cdr:x>0.97468</cdr:x>
      <cdr:y>0.8354</cdr:y>
    </cdr:to>
    <cdr:sp macro="" textlink="">
      <cdr:nvSpPr>
        <cdr:cNvPr id="2" name="ModelParams">
          <a:extLst xmlns:a="http://schemas.openxmlformats.org/drawingml/2006/main">
            <a:ext uri="{FF2B5EF4-FFF2-40B4-BE49-F238E27FC236}">
              <a16:creationId xmlns:a16="http://schemas.microsoft.com/office/drawing/2014/main" id="{85FF0D65-A944-6FBF-9433-CBBA9D85065D}"/>
            </a:ext>
          </a:extLst>
        </cdr:cNvPr>
        <cdr:cNvSpPr/>
      </cdr:nvSpPr>
      <cdr:spPr bwMode="auto">
        <a:xfrm xmlns:a="http://schemas.openxmlformats.org/drawingml/2006/main">
          <a:off x="5956300" y="4483100"/>
          <a:ext cx="2476500" cy="762000"/>
        </a:xfrm>
        <a:prstGeom xmlns:a="http://schemas.openxmlformats.org/drawingml/2006/main" prst="rect">
          <a:avLst/>
        </a:prstGeom>
        <a:solidFill xmlns:a="http://schemas.openxmlformats.org/drawingml/2006/main">
          <a:srgbClr val="FFFFFF"/>
        </a:solidFill>
        <a:ln xmlns:a="http://schemas.openxmlformats.org/drawingml/2006/main"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 xmlns:a="http://schemas.openxmlformats.org/drawingml/2006/main"/>
      </cdr:spPr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pPr algn="ctr"/>
          <a:r>
            <a:rPr lang="en-US" kern="1200"/>
            <a:t>Wind Tunnel Model Parameters</a:t>
          </a:r>
        </a:p>
        <a:p xmlns:a="http://schemas.openxmlformats.org/drawingml/2006/main">
          <a:pPr algn="ctr"/>
          <a:r>
            <a:rPr lang="en-US" kern="1200"/>
            <a:t>(S, b, MAC, Mom Ref Ctr)</a:t>
          </a:r>
        </a:p>
        <a:p xmlns:a="http://schemas.openxmlformats.org/drawingml/2006/main">
          <a:pPr algn="ctr"/>
          <a:r>
            <a:rPr lang="en-US" kern="1200"/>
            <a:t>Run 1 (Blue):  81.5, 12, 8.2, FS 384</a:t>
          </a:r>
        </a:p>
        <a:p xmlns:a="http://schemas.openxmlformats.org/drawingml/2006/main">
          <a:pPr algn="ctr"/>
          <a:r>
            <a:rPr lang="en-US" kern="1200"/>
            <a:t>Run 2 (Red):  81.5, 12, 8.2, FS 384</a:t>
          </a:r>
        </a:p>
      </cdr:txBody>
    </cdr:sp>
  </cdr:relSizeAnchor>
</c:userShapes>
</file>

<file path=xl/drawings/drawing5.xml><?xml version="1.0" encoding="utf-8"?>
<xdr:wsDr xmlns:xdr="http://schemas.openxmlformats.org/drawingml/2006/spreadsheetDrawing" xmlns:a="http://schemas.openxmlformats.org/drawingml/2006/main">
  <xdr:absoluteAnchor>
    <xdr:pos x="0" y="0"/>
    <xdr:ext cx="8651875" cy="6278563"/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375225DE-9B3B-C565-50EC-E46B152A127D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6.xml><?xml version="1.0" encoding="utf-8"?>
<c:userShapes xmlns:c="http://schemas.openxmlformats.org/drawingml/2006/chart">
  <cdr:relSizeAnchor xmlns:cdr="http://schemas.openxmlformats.org/drawingml/2006/chartDrawing">
    <cdr:from>
      <cdr:x>0.68844</cdr:x>
      <cdr:y>0.71403</cdr:y>
    </cdr:from>
    <cdr:to>
      <cdr:x>0.97468</cdr:x>
      <cdr:y>0.8354</cdr:y>
    </cdr:to>
    <cdr:sp macro="" textlink="">
      <cdr:nvSpPr>
        <cdr:cNvPr id="2" name="ModelParams">
          <a:extLst xmlns:a="http://schemas.openxmlformats.org/drawingml/2006/main">
            <a:ext uri="{FF2B5EF4-FFF2-40B4-BE49-F238E27FC236}">
              <a16:creationId xmlns:a16="http://schemas.microsoft.com/office/drawing/2014/main" id="{0A5FCBEF-C616-A644-D7CB-429640526EAC}"/>
            </a:ext>
          </a:extLst>
        </cdr:cNvPr>
        <cdr:cNvSpPr/>
      </cdr:nvSpPr>
      <cdr:spPr bwMode="auto">
        <a:xfrm xmlns:a="http://schemas.openxmlformats.org/drawingml/2006/main">
          <a:off x="5956300" y="4483100"/>
          <a:ext cx="2476500" cy="762000"/>
        </a:xfrm>
        <a:prstGeom xmlns:a="http://schemas.openxmlformats.org/drawingml/2006/main" prst="rect">
          <a:avLst/>
        </a:prstGeom>
        <a:solidFill xmlns:a="http://schemas.openxmlformats.org/drawingml/2006/main">
          <a:srgbClr val="FFFFFF"/>
        </a:solidFill>
        <a:ln xmlns:a="http://schemas.openxmlformats.org/drawingml/2006/main"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 xmlns:a="http://schemas.openxmlformats.org/drawingml/2006/main"/>
      </cdr:spPr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pPr algn="ctr"/>
          <a:r>
            <a:rPr lang="en-US" kern="1200"/>
            <a:t>Wind Tunnel Model Parameters</a:t>
          </a:r>
        </a:p>
        <a:p xmlns:a="http://schemas.openxmlformats.org/drawingml/2006/main">
          <a:pPr algn="ctr"/>
          <a:r>
            <a:rPr lang="en-US" kern="1200"/>
            <a:t>(S, b, MAC, Mom Ref Ctr)</a:t>
          </a:r>
        </a:p>
        <a:p xmlns:a="http://schemas.openxmlformats.org/drawingml/2006/main">
          <a:pPr algn="ctr"/>
          <a:r>
            <a:rPr lang="en-US" kern="1200"/>
            <a:t>Run 1 (Blue):  81.5, 12, 8.2, FS 384</a:t>
          </a:r>
        </a:p>
        <a:p xmlns:a="http://schemas.openxmlformats.org/drawingml/2006/main">
          <a:pPr algn="ctr"/>
          <a:r>
            <a:rPr lang="en-US" kern="1200"/>
            <a:t>Run 2 (Red):  81.5, 12, 8.2, FS 384</a:t>
          </a:r>
        </a:p>
      </cdr:txBody>
    </cdr:sp>
  </cdr:relSizeAnchor>
</c:userShapes>
</file>

<file path=xl/drawings/drawing7.xml><?xml version="1.0" encoding="utf-8"?>
<xdr:wsDr xmlns:xdr="http://schemas.openxmlformats.org/drawingml/2006/spreadsheetDrawing" xmlns:a="http://schemas.openxmlformats.org/drawingml/2006/main">
  <xdr:absoluteAnchor>
    <xdr:pos x="0" y="0"/>
    <xdr:ext cx="9032697" cy="6746697"/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A8452BA8-F1F9-E019-483D-A7F908950B99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8.xml><?xml version="1.0" encoding="utf-8"?>
<c:userShapes xmlns:c="http://schemas.openxmlformats.org/drawingml/2006/chart">
  <cdr:relSizeAnchor xmlns:cdr="http://schemas.openxmlformats.org/drawingml/2006/chartDrawing">
    <cdr:from>
      <cdr:x>0.68844</cdr:x>
      <cdr:y>0.71403</cdr:y>
    </cdr:from>
    <cdr:to>
      <cdr:x>0.97468</cdr:x>
      <cdr:y>0.8354</cdr:y>
    </cdr:to>
    <cdr:sp macro="" textlink="">
      <cdr:nvSpPr>
        <cdr:cNvPr id="2" name="ModelParams">
          <a:extLst xmlns:a="http://schemas.openxmlformats.org/drawingml/2006/main">
            <a:ext uri="{FF2B5EF4-FFF2-40B4-BE49-F238E27FC236}">
              <a16:creationId xmlns:a16="http://schemas.microsoft.com/office/drawing/2014/main" id="{50A402B4-C320-F9AC-A04B-655D7DCE714F}"/>
            </a:ext>
          </a:extLst>
        </cdr:cNvPr>
        <cdr:cNvSpPr/>
      </cdr:nvSpPr>
      <cdr:spPr bwMode="auto">
        <a:xfrm xmlns:a="http://schemas.openxmlformats.org/drawingml/2006/main">
          <a:off x="5956300" y="4483100"/>
          <a:ext cx="2476500" cy="762000"/>
        </a:xfrm>
        <a:prstGeom xmlns:a="http://schemas.openxmlformats.org/drawingml/2006/main" prst="rect">
          <a:avLst/>
        </a:prstGeom>
        <a:solidFill xmlns:a="http://schemas.openxmlformats.org/drawingml/2006/main">
          <a:srgbClr val="FFFFFF"/>
        </a:solidFill>
        <a:ln xmlns:a="http://schemas.openxmlformats.org/drawingml/2006/main"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 xmlns:a="http://schemas.openxmlformats.org/drawingml/2006/main"/>
      </cdr:spPr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pPr algn="ctr"/>
          <a:r>
            <a:rPr lang="en-US" kern="1200"/>
            <a:t>Wind Tunnel Model Parameters</a:t>
          </a:r>
        </a:p>
        <a:p xmlns:a="http://schemas.openxmlformats.org/drawingml/2006/main">
          <a:pPr algn="ctr"/>
          <a:r>
            <a:rPr lang="en-US" kern="1200"/>
            <a:t>(S, b, MAC, Mom Ref Ctr)</a:t>
          </a:r>
        </a:p>
        <a:p xmlns:a="http://schemas.openxmlformats.org/drawingml/2006/main">
          <a:pPr algn="ctr"/>
          <a:r>
            <a:rPr lang="en-US" kern="1200"/>
            <a:t>Run 1 (Blue):  81.5, 12, 8.2, FS 384</a:t>
          </a:r>
        </a:p>
        <a:p xmlns:a="http://schemas.openxmlformats.org/drawingml/2006/main">
          <a:pPr algn="ctr"/>
          <a:r>
            <a:rPr lang="en-US" kern="1200"/>
            <a:t>Run 2 (Red):  81.5, 12, 8.2, FS 384</a:t>
          </a:r>
        </a:p>
      </cdr:txBody>
    </cdr:sp>
  </cdr:relSizeAnchor>
</c:userShapes>
</file>

<file path=xl/drawings/drawing9.xml><?xml version="1.0" encoding="utf-8"?>
<xdr:wsDr xmlns:xdr="http://schemas.openxmlformats.org/drawingml/2006/spreadsheetDrawing" xmlns:a="http://schemas.openxmlformats.org/drawingml/2006/main">
  <xdr:absoluteAnchor>
    <xdr:pos x="0" y="0"/>
    <xdr:ext cx="8651875" cy="6278563"/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AC6E84F9-290B-AEB0-F8C4-98E64D21E18E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10.xml><?xml version="1.0" encoding="utf-8"?>
<c:userShapes xmlns:c="http://schemas.openxmlformats.org/drawingml/2006/chart">
  <cdr:relSizeAnchor xmlns:cdr="http://schemas.openxmlformats.org/drawingml/2006/chartDrawing">
    <cdr:from>
      <cdr:x>0.68844</cdr:x>
      <cdr:y>0.71403</cdr:y>
    </cdr:from>
    <cdr:to>
      <cdr:x>0.97468</cdr:x>
      <cdr:y>0.8354</cdr:y>
    </cdr:to>
    <cdr:sp macro="" textlink="">
      <cdr:nvSpPr>
        <cdr:cNvPr id="2" name="ModelParams">
          <a:extLst xmlns:a="http://schemas.openxmlformats.org/drawingml/2006/main">
            <a:ext uri="{FF2B5EF4-FFF2-40B4-BE49-F238E27FC236}">
              <a16:creationId xmlns:a16="http://schemas.microsoft.com/office/drawing/2014/main" id="{5A05A660-7FB1-B8B6-45B2-F8B917C31062}"/>
            </a:ext>
          </a:extLst>
        </cdr:cNvPr>
        <cdr:cNvSpPr/>
      </cdr:nvSpPr>
      <cdr:spPr bwMode="auto">
        <a:xfrm xmlns:a="http://schemas.openxmlformats.org/drawingml/2006/main">
          <a:off x="5956300" y="4483100"/>
          <a:ext cx="2476500" cy="762000"/>
        </a:xfrm>
        <a:prstGeom xmlns:a="http://schemas.openxmlformats.org/drawingml/2006/main" prst="rect">
          <a:avLst/>
        </a:prstGeom>
        <a:solidFill xmlns:a="http://schemas.openxmlformats.org/drawingml/2006/main">
          <a:srgbClr val="FFFFFF"/>
        </a:solidFill>
        <a:ln xmlns:a="http://schemas.openxmlformats.org/drawingml/2006/main"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 xmlns:a="http://schemas.openxmlformats.org/drawingml/2006/main"/>
      </cdr:spPr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pPr algn="ctr"/>
          <a:r>
            <a:rPr lang="en-US" kern="1200"/>
            <a:t>Wind Tunnel Model Parameters</a:t>
          </a:r>
        </a:p>
        <a:p xmlns:a="http://schemas.openxmlformats.org/drawingml/2006/main">
          <a:pPr algn="ctr"/>
          <a:r>
            <a:rPr lang="en-US" kern="1200"/>
            <a:t>(S, b, MAC, Mom Ref Ctr)</a:t>
          </a:r>
        </a:p>
        <a:p xmlns:a="http://schemas.openxmlformats.org/drawingml/2006/main">
          <a:pPr algn="ctr"/>
          <a:r>
            <a:rPr lang="en-US" kern="1200"/>
            <a:t>Run 1 (Blue):  81.5, 12, 8.2, FS 384</a:t>
          </a:r>
        </a:p>
        <a:p xmlns:a="http://schemas.openxmlformats.org/drawingml/2006/main">
          <a:pPr algn="ctr"/>
          <a:r>
            <a:rPr lang="en-US" kern="1200"/>
            <a:t>Run 2 (Red):  81.5, 12, 8.2, FS 384</a:t>
          </a:r>
        </a:p>
      </cdr:txBody>
    </cdr:sp>
  </cdr:relSizeAnchor>
</c:userShapes>
</file>

<file path=xl/drawings/drawing11.xml><?xml version="1.0" encoding="utf-8"?>
<xdr:wsDr xmlns:xdr="http://schemas.openxmlformats.org/drawingml/2006/spreadsheetDrawing" xmlns:a="http://schemas.openxmlformats.org/drawingml/2006/main">
  <xdr:absoluteAnchor>
    <xdr:pos x="0" y="0"/>
    <xdr:ext cx="9032697" cy="6746697"/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5BA1A50-D36F-6ECD-7662-464AECCAC97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12.xml><?xml version="1.0" encoding="utf-8"?>
<c:userShapes xmlns:c="http://schemas.openxmlformats.org/drawingml/2006/chart">
  <cdr:relSizeAnchor xmlns:cdr="http://schemas.openxmlformats.org/drawingml/2006/chartDrawing">
    <cdr:from>
      <cdr:x>0.66095</cdr:x>
      <cdr:y>0.13535</cdr:y>
    </cdr:from>
    <cdr:to>
      <cdr:x>0.94719</cdr:x>
      <cdr:y>0.25672</cdr:y>
    </cdr:to>
    <cdr:sp macro="" textlink="">
      <cdr:nvSpPr>
        <cdr:cNvPr id="2" name="ModelParams">
          <a:extLst xmlns:a="http://schemas.openxmlformats.org/drawingml/2006/main">
            <a:ext uri="{FF2B5EF4-FFF2-40B4-BE49-F238E27FC236}">
              <a16:creationId xmlns:a16="http://schemas.microsoft.com/office/drawing/2014/main" id="{63DAEEAD-3EE6-DBB0-792F-E005A54C4582}"/>
            </a:ext>
          </a:extLst>
        </cdr:cNvPr>
        <cdr:cNvSpPr/>
      </cdr:nvSpPr>
      <cdr:spPr bwMode="auto">
        <a:xfrm xmlns:a="http://schemas.openxmlformats.org/drawingml/2006/main">
          <a:off x="5970181" y="913183"/>
          <a:ext cx="2585506" cy="818815"/>
        </a:xfrm>
        <a:prstGeom xmlns:a="http://schemas.openxmlformats.org/drawingml/2006/main" prst="rect">
          <a:avLst/>
        </a:prstGeom>
        <a:solidFill xmlns:a="http://schemas.openxmlformats.org/drawingml/2006/main">
          <a:srgbClr val="FFFFFF"/>
        </a:solidFill>
        <a:ln xmlns:a="http://schemas.openxmlformats.org/drawingml/2006/main"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 xmlns:a="http://schemas.openxmlformats.org/drawingml/2006/main"/>
      </cdr:spPr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pPr algn="ctr"/>
          <a:r>
            <a:rPr lang="en-US" kern="1200"/>
            <a:t>Wind Tunnel Model Parameters</a:t>
          </a:r>
        </a:p>
        <a:p xmlns:a="http://schemas.openxmlformats.org/drawingml/2006/main">
          <a:pPr algn="ctr"/>
          <a:r>
            <a:rPr lang="en-US" kern="1200"/>
            <a:t>(S, b, MAC, Mom Ref Ctr)</a:t>
          </a:r>
        </a:p>
        <a:p xmlns:a="http://schemas.openxmlformats.org/drawingml/2006/main">
          <a:pPr algn="ctr"/>
          <a:r>
            <a:rPr lang="en-US" kern="1200"/>
            <a:t>Run 1 (Blue):  81.5, 12, 8.2, FS 384</a:t>
          </a:r>
        </a:p>
        <a:p xmlns:a="http://schemas.openxmlformats.org/drawingml/2006/main">
          <a:pPr algn="ctr"/>
          <a:r>
            <a:rPr lang="en-US" kern="1200"/>
            <a:t>Run 2 (Red):  81.5, 12, 8.2, FS 384</a:t>
          </a:r>
        </a:p>
      </cdr:txBody>
    </cdr:sp>
  </cdr:relSizeAnchor>
</c:userShapes>
</file>

<file path=xl/drawings/drawing13.xml><?xml version="1.0" encoding="utf-8"?>
<xdr:wsDr xmlns:xdr="http://schemas.openxmlformats.org/drawingml/2006/spreadsheetDrawing" xmlns:a="http://schemas.openxmlformats.org/drawingml/2006/main">
  <xdr:absoluteAnchor>
    <xdr:pos x="0" y="0"/>
    <xdr:ext cx="9032697" cy="6746697"/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A2402802-A712-D4A4-CEBD-2DF5F114FA26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14.xml><?xml version="1.0" encoding="utf-8"?>
<c:userShapes xmlns:c="http://schemas.openxmlformats.org/drawingml/2006/chart">
  <cdr:relSizeAnchor xmlns:cdr="http://schemas.openxmlformats.org/drawingml/2006/chartDrawing">
    <cdr:from>
      <cdr:x>0.68844</cdr:x>
      <cdr:y>0.71403</cdr:y>
    </cdr:from>
    <cdr:to>
      <cdr:x>0.97468</cdr:x>
      <cdr:y>0.8354</cdr:y>
    </cdr:to>
    <cdr:sp macro="" textlink="">
      <cdr:nvSpPr>
        <cdr:cNvPr id="2" name="ModelParams">
          <a:extLst xmlns:a="http://schemas.openxmlformats.org/drawingml/2006/main">
            <a:ext uri="{FF2B5EF4-FFF2-40B4-BE49-F238E27FC236}">
              <a16:creationId xmlns:a16="http://schemas.microsoft.com/office/drawing/2014/main" id="{C39C87F9-3BF6-EBAC-373B-82CB4E0D4E24}"/>
            </a:ext>
          </a:extLst>
        </cdr:cNvPr>
        <cdr:cNvSpPr/>
      </cdr:nvSpPr>
      <cdr:spPr bwMode="auto">
        <a:xfrm xmlns:a="http://schemas.openxmlformats.org/drawingml/2006/main">
          <a:off x="5956300" y="4483100"/>
          <a:ext cx="2476500" cy="762000"/>
        </a:xfrm>
        <a:prstGeom xmlns:a="http://schemas.openxmlformats.org/drawingml/2006/main" prst="rect">
          <a:avLst/>
        </a:prstGeom>
        <a:solidFill xmlns:a="http://schemas.openxmlformats.org/drawingml/2006/main">
          <a:srgbClr val="FFFFFF"/>
        </a:solidFill>
        <a:ln xmlns:a="http://schemas.openxmlformats.org/drawingml/2006/main"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 xmlns:a="http://schemas.openxmlformats.org/drawingml/2006/main"/>
      </cdr:spPr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pPr algn="ctr"/>
          <a:r>
            <a:rPr lang="en-US" kern="1200"/>
            <a:t>Wind Tunnel Model Parameters</a:t>
          </a:r>
        </a:p>
        <a:p xmlns:a="http://schemas.openxmlformats.org/drawingml/2006/main">
          <a:pPr algn="ctr"/>
          <a:r>
            <a:rPr lang="en-US" kern="1200"/>
            <a:t>(S, b, MAC, Mom Ref Ctr)</a:t>
          </a:r>
        </a:p>
        <a:p xmlns:a="http://schemas.openxmlformats.org/drawingml/2006/main">
          <a:pPr algn="ctr"/>
          <a:r>
            <a:rPr lang="en-US" kern="1200"/>
            <a:t>Run 1 (Blue):  81.5, 12, 8.2, FS 384</a:t>
          </a:r>
        </a:p>
        <a:p xmlns:a="http://schemas.openxmlformats.org/drawingml/2006/main">
          <a:pPr algn="ctr"/>
          <a:r>
            <a:rPr lang="en-US" kern="1200"/>
            <a:t>Run 2 (Red):  81.5, 12, 8.2, FS 384</a:t>
          </a:r>
        </a:p>
      </cdr:txBody>
    </cdr:sp>
  </cdr:relSizeAnchor>
</c:userShapes>
</file>

<file path=xl/drawings/drawing15.xml><?xml version="1.0" encoding="utf-8"?>
<xdr:wsDr xmlns:xdr="http://schemas.openxmlformats.org/drawingml/2006/spreadsheetDrawing" xmlns:a="http://schemas.openxmlformats.org/drawingml/2006/main">
  <xdr:absoluteAnchor>
    <xdr:pos x="0" y="0"/>
    <xdr:ext cx="9032697" cy="6746697"/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9E742C53-F01F-5F41-5613-C5E05400A0BE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16.xml><?xml version="1.0" encoding="utf-8"?>
<c:userShapes xmlns:c="http://schemas.openxmlformats.org/drawingml/2006/chart">
  <cdr:relSizeAnchor xmlns:cdr="http://schemas.openxmlformats.org/drawingml/2006/chartDrawing">
    <cdr:from>
      <cdr:x>0.68844</cdr:x>
      <cdr:y>0.71403</cdr:y>
    </cdr:from>
    <cdr:to>
      <cdr:x>0.97468</cdr:x>
      <cdr:y>0.8354</cdr:y>
    </cdr:to>
    <cdr:sp macro="" textlink="">
      <cdr:nvSpPr>
        <cdr:cNvPr id="2" name="ModelParams">
          <a:extLst xmlns:a="http://schemas.openxmlformats.org/drawingml/2006/main">
            <a:ext uri="{FF2B5EF4-FFF2-40B4-BE49-F238E27FC236}">
              <a16:creationId xmlns:a16="http://schemas.microsoft.com/office/drawing/2014/main" id="{4A69C7CB-59C8-3FCC-C0E9-D0B30AFB2B79}"/>
            </a:ext>
          </a:extLst>
        </cdr:cNvPr>
        <cdr:cNvSpPr/>
      </cdr:nvSpPr>
      <cdr:spPr bwMode="auto">
        <a:xfrm xmlns:a="http://schemas.openxmlformats.org/drawingml/2006/main">
          <a:off x="5956300" y="4483100"/>
          <a:ext cx="2476500" cy="762000"/>
        </a:xfrm>
        <a:prstGeom xmlns:a="http://schemas.openxmlformats.org/drawingml/2006/main" prst="rect">
          <a:avLst/>
        </a:prstGeom>
        <a:solidFill xmlns:a="http://schemas.openxmlformats.org/drawingml/2006/main">
          <a:srgbClr val="FFFFFF"/>
        </a:solidFill>
        <a:ln xmlns:a="http://schemas.openxmlformats.org/drawingml/2006/main"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 xmlns:a="http://schemas.openxmlformats.org/drawingml/2006/main"/>
      </cdr:spPr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pPr algn="ctr"/>
          <a:r>
            <a:rPr lang="en-US" kern="1200"/>
            <a:t>Sideslip Angle for Derivative Estimate</a:t>
          </a:r>
        </a:p>
        <a:p xmlns:a="http://schemas.openxmlformats.org/drawingml/2006/main">
          <a:pPr algn="ctr"/>
          <a:r>
            <a:rPr lang="en-US" kern="1200"/>
            <a:t>Blue:  Beta = 0 deg</a:t>
          </a:r>
        </a:p>
        <a:p xmlns:a="http://schemas.openxmlformats.org/drawingml/2006/main">
          <a:pPr algn="ctr"/>
          <a:r>
            <a:rPr lang="en-US" kern="1200"/>
            <a:t>Red:  Beta = -5 deg</a:t>
          </a:r>
        </a:p>
        <a:p xmlns:a="http://schemas.openxmlformats.org/drawingml/2006/main">
          <a:pPr algn="ctr"/>
          <a:r>
            <a:rPr lang="en-US" kern="1200"/>
            <a:t>Green:  Beta = -10 deg</a:t>
          </a:r>
        </a:p>
      </cdr:txBody>
    </cdr:sp>
  </cdr:relSizeAnchor>
</c:userShapes>
</file>

<file path=xl/drawings/drawing17.xml><?xml version="1.0" encoding="utf-8"?>
<xdr:wsDr xmlns:xdr="http://schemas.openxmlformats.org/drawingml/2006/spreadsheetDrawing" xmlns:a="http://schemas.openxmlformats.org/drawingml/2006/main">
  <xdr:absoluteAnchor>
    <xdr:pos x="0" y="0"/>
    <xdr:ext cx="9032697" cy="6746697"/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205C43D9-C50C-C05F-FB62-07075CFAFBD8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18.xml><?xml version="1.0" encoding="utf-8"?>
<c:userShapes xmlns:c="http://schemas.openxmlformats.org/drawingml/2006/chart">
  <cdr:relSizeAnchor xmlns:cdr="http://schemas.openxmlformats.org/drawingml/2006/chartDrawing">
    <cdr:from>
      <cdr:x>0.68844</cdr:x>
      <cdr:y>0.71403</cdr:y>
    </cdr:from>
    <cdr:to>
      <cdr:x>0.97468</cdr:x>
      <cdr:y>0.8354</cdr:y>
    </cdr:to>
    <cdr:sp macro="" textlink="">
      <cdr:nvSpPr>
        <cdr:cNvPr id="2" name="ModelParams">
          <a:extLst xmlns:a="http://schemas.openxmlformats.org/drawingml/2006/main">
            <a:ext uri="{FF2B5EF4-FFF2-40B4-BE49-F238E27FC236}">
              <a16:creationId xmlns:a16="http://schemas.microsoft.com/office/drawing/2014/main" id="{761CD8C3-9EEC-97CA-0304-2E1DB78ED739}"/>
            </a:ext>
          </a:extLst>
        </cdr:cNvPr>
        <cdr:cNvSpPr/>
      </cdr:nvSpPr>
      <cdr:spPr bwMode="auto">
        <a:xfrm xmlns:a="http://schemas.openxmlformats.org/drawingml/2006/main">
          <a:off x="5956300" y="4483100"/>
          <a:ext cx="2476500" cy="762000"/>
        </a:xfrm>
        <a:prstGeom xmlns:a="http://schemas.openxmlformats.org/drawingml/2006/main" prst="rect">
          <a:avLst/>
        </a:prstGeom>
        <a:solidFill xmlns:a="http://schemas.openxmlformats.org/drawingml/2006/main">
          <a:srgbClr val="FFFFFF"/>
        </a:solidFill>
        <a:ln xmlns:a="http://schemas.openxmlformats.org/drawingml/2006/main"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 xmlns:a="http://schemas.openxmlformats.org/drawingml/2006/main"/>
      </cdr:spPr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pPr algn="ctr"/>
          <a:r>
            <a:rPr lang="en-US" kern="1200"/>
            <a:t>Sideslip Angle for Derivative Estimate</a:t>
          </a:r>
        </a:p>
        <a:p xmlns:a="http://schemas.openxmlformats.org/drawingml/2006/main">
          <a:pPr algn="ctr"/>
          <a:r>
            <a:rPr lang="en-US" kern="1200"/>
            <a:t>Blue:  Beta = 0 deg</a:t>
          </a:r>
        </a:p>
        <a:p xmlns:a="http://schemas.openxmlformats.org/drawingml/2006/main">
          <a:pPr algn="ctr"/>
          <a:r>
            <a:rPr lang="en-US" kern="1200"/>
            <a:t>Red:  Beta = -5 deg</a:t>
          </a:r>
        </a:p>
        <a:p xmlns:a="http://schemas.openxmlformats.org/drawingml/2006/main">
          <a:pPr algn="ctr"/>
          <a:r>
            <a:rPr lang="en-US" kern="1200"/>
            <a:t>Green:  Beta = -10 deg</a:t>
          </a:r>
        </a:p>
      </cdr:txBody>
    </cdr:sp>
  </cdr:relSizeAnchor>
</c:userShapes>
</file>

<file path=xl/drawings/drawing19.xml><?xml version="1.0" encoding="utf-8"?>
<xdr:wsDr xmlns:xdr="http://schemas.openxmlformats.org/drawingml/2006/spreadsheetDrawing" xmlns:a="http://schemas.openxmlformats.org/drawingml/2006/main">
  <xdr:absoluteAnchor>
    <xdr:pos x="0" y="0"/>
    <xdr:ext cx="9032697" cy="6746697"/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9D6DEF55-976B-94B4-E557-165138E99F08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0.xml><?xml version="1.0" encoding="utf-8"?>
<c:userShapes xmlns:c="http://schemas.openxmlformats.org/drawingml/2006/chart">
  <cdr:relSizeAnchor xmlns:cdr="http://schemas.openxmlformats.org/drawingml/2006/chartDrawing">
    <cdr:from>
      <cdr:x>0.68844</cdr:x>
      <cdr:y>0.71403</cdr:y>
    </cdr:from>
    <cdr:to>
      <cdr:x>0.97468</cdr:x>
      <cdr:y>0.8354</cdr:y>
    </cdr:to>
    <cdr:sp macro="" textlink="">
      <cdr:nvSpPr>
        <cdr:cNvPr id="2" name="ModelParams">
          <a:extLst xmlns:a="http://schemas.openxmlformats.org/drawingml/2006/main">
            <a:ext uri="{FF2B5EF4-FFF2-40B4-BE49-F238E27FC236}">
              <a16:creationId xmlns:a16="http://schemas.microsoft.com/office/drawing/2014/main" id="{DEA8757B-EBED-7511-B345-9C22F5DBC57A}"/>
            </a:ext>
          </a:extLst>
        </cdr:cNvPr>
        <cdr:cNvSpPr/>
      </cdr:nvSpPr>
      <cdr:spPr bwMode="auto">
        <a:xfrm xmlns:a="http://schemas.openxmlformats.org/drawingml/2006/main">
          <a:off x="5956300" y="4483100"/>
          <a:ext cx="2476500" cy="762000"/>
        </a:xfrm>
        <a:prstGeom xmlns:a="http://schemas.openxmlformats.org/drawingml/2006/main" prst="rect">
          <a:avLst/>
        </a:prstGeom>
        <a:solidFill xmlns:a="http://schemas.openxmlformats.org/drawingml/2006/main">
          <a:srgbClr val="FFFFFF"/>
        </a:solidFill>
        <a:ln xmlns:a="http://schemas.openxmlformats.org/drawingml/2006/main"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 xmlns:a="http://schemas.openxmlformats.org/drawingml/2006/main"/>
      </cdr:spPr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pPr algn="ctr"/>
          <a:r>
            <a:rPr lang="en-US" kern="1200"/>
            <a:t>Sideslip Angle for Derivative Estimate</a:t>
          </a:r>
        </a:p>
        <a:p xmlns:a="http://schemas.openxmlformats.org/drawingml/2006/main">
          <a:pPr algn="ctr"/>
          <a:r>
            <a:rPr lang="en-US" kern="1200"/>
            <a:t>Blue:  Beta = 0 deg</a:t>
          </a:r>
        </a:p>
        <a:p xmlns:a="http://schemas.openxmlformats.org/drawingml/2006/main">
          <a:pPr algn="ctr"/>
          <a:r>
            <a:rPr lang="en-US" kern="1200"/>
            <a:t>Red:  Beta = -5 deg</a:t>
          </a:r>
        </a:p>
        <a:p xmlns:a="http://schemas.openxmlformats.org/drawingml/2006/main">
          <a:pPr algn="ctr"/>
          <a:r>
            <a:rPr lang="en-US" kern="1200"/>
            <a:t>Green:  Beta = -10 deg</a:t>
          </a:r>
        </a:p>
      </cdr:txBody>
    </cdr:sp>
  </cdr:relSizeAnchor>
</c:userShapes>
</file>

<file path=xl/drawings/drawing21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0</xdr:colOff>
      <xdr:row>2</xdr:row>
      <xdr:rowOff>209550</xdr:rowOff>
    </xdr:from>
    <xdr:to>
      <xdr:col>6</xdr:col>
      <xdr:colOff>0</xdr:colOff>
      <xdr:row>7</xdr:row>
      <xdr:rowOff>152400</xdr:rowOff>
    </xdr:to>
    <xdr:sp macro="" textlink="">
      <xdr:nvSpPr>
        <xdr:cNvPr id="3736" name="Line 113">
          <a:extLst>
            <a:ext uri="{FF2B5EF4-FFF2-40B4-BE49-F238E27FC236}">
              <a16:creationId xmlns:a16="http://schemas.microsoft.com/office/drawing/2014/main" id="{00000000-0008-0000-0A00-0000980E0000}"/>
            </a:ext>
          </a:extLst>
        </xdr:cNvPr>
        <xdr:cNvSpPr>
          <a:spLocks noChangeShapeType="1"/>
        </xdr:cNvSpPr>
      </xdr:nvSpPr>
      <xdr:spPr bwMode="auto">
        <a:xfrm>
          <a:off x="4810125" y="533400"/>
          <a:ext cx="0" cy="790575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absolute">
        <xdr:from>
          <xdr:col>14</xdr:col>
          <xdr:colOff>76200</xdr:colOff>
          <xdr:row>4</xdr:row>
          <xdr:rowOff>99060</xdr:rowOff>
        </xdr:from>
        <xdr:to>
          <xdr:col>16</xdr:col>
          <xdr:colOff>198120</xdr:colOff>
          <xdr:row>7</xdr:row>
          <xdr:rowOff>99060</xdr:rowOff>
        </xdr:to>
        <xdr:sp macro="" textlink="">
          <xdr:nvSpPr>
            <xdr:cNvPr id="3073" name="cmdGenCharts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A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2</xdr:col>
          <xdr:colOff>190500</xdr:colOff>
          <xdr:row>3</xdr:row>
          <xdr:rowOff>45720</xdr:rowOff>
        </xdr:from>
        <xdr:to>
          <xdr:col>4</xdr:col>
          <xdr:colOff>22860</xdr:colOff>
          <xdr:row>4</xdr:row>
          <xdr:rowOff>99060</xdr:rowOff>
        </xdr:to>
        <xdr:sp macro="" textlink="">
          <xdr:nvSpPr>
            <xdr:cNvPr id="3074" name="cbCLvsAlpha" hidden="1">
              <a:extLst>
                <a:ext uri="{63B3BB69-23CF-44E3-9099-C40C66FF867C}">
                  <a14:compatExt spid="_x0000_s3074"/>
                </a:ext>
                <a:ext uri="{FF2B5EF4-FFF2-40B4-BE49-F238E27FC236}">
                  <a16:creationId xmlns:a16="http://schemas.microsoft.com/office/drawing/2014/main" id="{00000000-0008-0000-0A00-000002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22860</xdr:colOff>
          <xdr:row>11</xdr:row>
          <xdr:rowOff>7620</xdr:rowOff>
        </xdr:from>
        <xdr:to>
          <xdr:col>3</xdr:col>
          <xdr:colOff>449580</xdr:colOff>
          <xdr:row>12</xdr:row>
          <xdr:rowOff>0</xdr:rowOff>
        </xdr:to>
        <xdr:sp macro="" textlink="">
          <xdr:nvSpPr>
            <xdr:cNvPr id="3139" name="cmdLoadFile1" hidden="1">
              <a:extLst>
                <a:ext uri="{63B3BB69-23CF-44E3-9099-C40C66FF867C}">
                  <a14:compatExt spid="_x0000_s3139"/>
                </a:ext>
                <a:ext uri="{FF2B5EF4-FFF2-40B4-BE49-F238E27FC236}">
                  <a16:creationId xmlns:a16="http://schemas.microsoft.com/office/drawing/2014/main" id="{00000000-0008-0000-0A00-000043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22860</xdr:colOff>
          <xdr:row>12</xdr:row>
          <xdr:rowOff>7620</xdr:rowOff>
        </xdr:from>
        <xdr:to>
          <xdr:col>3</xdr:col>
          <xdr:colOff>449580</xdr:colOff>
          <xdr:row>13</xdr:row>
          <xdr:rowOff>0</xdr:rowOff>
        </xdr:to>
        <xdr:sp macro="" textlink="">
          <xdr:nvSpPr>
            <xdr:cNvPr id="3140" name="cmdLoadFile2" hidden="1">
              <a:extLst>
                <a:ext uri="{63B3BB69-23CF-44E3-9099-C40C66FF867C}">
                  <a14:compatExt spid="_x0000_s3140"/>
                </a:ext>
                <a:ext uri="{FF2B5EF4-FFF2-40B4-BE49-F238E27FC236}">
                  <a16:creationId xmlns:a16="http://schemas.microsoft.com/office/drawing/2014/main" id="{00000000-0008-0000-0A00-000044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22860</xdr:colOff>
          <xdr:row>13</xdr:row>
          <xdr:rowOff>7620</xdr:rowOff>
        </xdr:from>
        <xdr:to>
          <xdr:col>3</xdr:col>
          <xdr:colOff>449580</xdr:colOff>
          <xdr:row>14</xdr:row>
          <xdr:rowOff>0</xdr:rowOff>
        </xdr:to>
        <xdr:sp macro="" textlink="">
          <xdr:nvSpPr>
            <xdr:cNvPr id="3141" name="cmdLoadFile3" hidden="1">
              <a:extLst>
                <a:ext uri="{63B3BB69-23CF-44E3-9099-C40C66FF867C}">
                  <a14:compatExt spid="_x0000_s3141"/>
                </a:ext>
                <a:ext uri="{FF2B5EF4-FFF2-40B4-BE49-F238E27FC236}">
                  <a16:creationId xmlns:a16="http://schemas.microsoft.com/office/drawing/2014/main" id="{00000000-0008-0000-0A00-000045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22860</xdr:colOff>
          <xdr:row>14</xdr:row>
          <xdr:rowOff>7620</xdr:rowOff>
        </xdr:from>
        <xdr:to>
          <xdr:col>3</xdr:col>
          <xdr:colOff>457200</xdr:colOff>
          <xdr:row>15</xdr:row>
          <xdr:rowOff>0</xdr:rowOff>
        </xdr:to>
        <xdr:sp macro="" textlink="">
          <xdr:nvSpPr>
            <xdr:cNvPr id="3142" name="cmdLoadFile4" hidden="1">
              <a:extLst>
                <a:ext uri="{63B3BB69-23CF-44E3-9099-C40C66FF867C}">
                  <a14:compatExt spid="_x0000_s3142"/>
                </a:ext>
                <a:ext uri="{FF2B5EF4-FFF2-40B4-BE49-F238E27FC236}">
                  <a16:creationId xmlns:a16="http://schemas.microsoft.com/office/drawing/2014/main" id="{00000000-0008-0000-0A00-000046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22860</xdr:colOff>
          <xdr:row>15</xdr:row>
          <xdr:rowOff>7620</xdr:rowOff>
        </xdr:from>
        <xdr:to>
          <xdr:col>3</xdr:col>
          <xdr:colOff>457200</xdr:colOff>
          <xdr:row>16</xdr:row>
          <xdr:rowOff>0</xdr:rowOff>
        </xdr:to>
        <xdr:sp macro="" textlink="">
          <xdr:nvSpPr>
            <xdr:cNvPr id="3143" name="cmdLoadFile5" hidden="1">
              <a:extLst>
                <a:ext uri="{63B3BB69-23CF-44E3-9099-C40C66FF867C}">
                  <a14:compatExt spid="_x0000_s3143"/>
                </a:ext>
                <a:ext uri="{FF2B5EF4-FFF2-40B4-BE49-F238E27FC236}">
                  <a16:creationId xmlns:a16="http://schemas.microsoft.com/office/drawing/2014/main" id="{00000000-0008-0000-0A00-000047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22860</xdr:colOff>
          <xdr:row>16</xdr:row>
          <xdr:rowOff>7620</xdr:rowOff>
        </xdr:from>
        <xdr:to>
          <xdr:col>3</xdr:col>
          <xdr:colOff>457200</xdr:colOff>
          <xdr:row>17</xdr:row>
          <xdr:rowOff>0</xdr:rowOff>
        </xdr:to>
        <xdr:sp macro="" textlink="">
          <xdr:nvSpPr>
            <xdr:cNvPr id="3144" name="cmdLoadFile6" hidden="1">
              <a:extLst>
                <a:ext uri="{63B3BB69-23CF-44E3-9099-C40C66FF867C}">
                  <a14:compatExt spid="_x0000_s3144"/>
                </a:ext>
                <a:ext uri="{FF2B5EF4-FFF2-40B4-BE49-F238E27FC236}">
                  <a16:creationId xmlns:a16="http://schemas.microsoft.com/office/drawing/2014/main" id="{00000000-0008-0000-0A00-000048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22860</xdr:colOff>
          <xdr:row>17</xdr:row>
          <xdr:rowOff>7620</xdr:rowOff>
        </xdr:from>
        <xdr:to>
          <xdr:col>3</xdr:col>
          <xdr:colOff>457200</xdr:colOff>
          <xdr:row>18</xdr:row>
          <xdr:rowOff>0</xdr:rowOff>
        </xdr:to>
        <xdr:sp macro="" textlink="">
          <xdr:nvSpPr>
            <xdr:cNvPr id="3145" name="cmdLoadFile7" hidden="1">
              <a:extLst>
                <a:ext uri="{63B3BB69-23CF-44E3-9099-C40C66FF867C}">
                  <a14:compatExt spid="_x0000_s3145"/>
                </a:ext>
                <a:ext uri="{FF2B5EF4-FFF2-40B4-BE49-F238E27FC236}">
                  <a16:creationId xmlns:a16="http://schemas.microsoft.com/office/drawing/2014/main" id="{00000000-0008-0000-0A00-000049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22860</xdr:colOff>
          <xdr:row>18</xdr:row>
          <xdr:rowOff>7620</xdr:rowOff>
        </xdr:from>
        <xdr:to>
          <xdr:col>3</xdr:col>
          <xdr:colOff>457200</xdr:colOff>
          <xdr:row>19</xdr:row>
          <xdr:rowOff>0</xdr:rowOff>
        </xdr:to>
        <xdr:sp macro="" textlink="">
          <xdr:nvSpPr>
            <xdr:cNvPr id="3146" name="cmdLoadFile8" hidden="1">
              <a:extLst>
                <a:ext uri="{63B3BB69-23CF-44E3-9099-C40C66FF867C}">
                  <a14:compatExt spid="_x0000_s3146"/>
                </a:ext>
                <a:ext uri="{FF2B5EF4-FFF2-40B4-BE49-F238E27FC236}">
                  <a16:creationId xmlns:a16="http://schemas.microsoft.com/office/drawing/2014/main" id="{00000000-0008-0000-0A00-00004A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2</xdr:col>
          <xdr:colOff>190500</xdr:colOff>
          <xdr:row>4</xdr:row>
          <xdr:rowOff>137160</xdr:rowOff>
        </xdr:from>
        <xdr:to>
          <xdr:col>4</xdr:col>
          <xdr:colOff>22860</xdr:colOff>
          <xdr:row>6</xdr:row>
          <xdr:rowOff>7620</xdr:rowOff>
        </xdr:to>
        <xdr:sp macro="" textlink="">
          <xdr:nvSpPr>
            <xdr:cNvPr id="3147" name="cbCDvsAlpha" hidden="1">
              <a:extLst>
                <a:ext uri="{63B3BB69-23CF-44E3-9099-C40C66FF867C}">
                  <a14:compatExt spid="_x0000_s3147"/>
                </a:ext>
                <a:ext uri="{FF2B5EF4-FFF2-40B4-BE49-F238E27FC236}">
                  <a16:creationId xmlns:a16="http://schemas.microsoft.com/office/drawing/2014/main" id="{00000000-0008-0000-0A00-00004B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2</xdr:col>
          <xdr:colOff>190500</xdr:colOff>
          <xdr:row>6</xdr:row>
          <xdr:rowOff>60960</xdr:rowOff>
        </xdr:from>
        <xdr:to>
          <xdr:col>4</xdr:col>
          <xdr:colOff>22860</xdr:colOff>
          <xdr:row>7</xdr:row>
          <xdr:rowOff>99060</xdr:rowOff>
        </xdr:to>
        <xdr:sp macro="" textlink="">
          <xdr:nvSpPr>
            <xdr:cNvPr id="3148" name="cbCDvsCL" hidden="1">
              <a:extLst>
                <a:ext uri="{63B3BB69-23CF-44E3-9099-C40C66FF867C}">
                  <a14:compatExt spid="_x0000_s3148"/>
                </a:ext>
                <a:ext uri="{FF2B5EF4-FFF2-40B4-BE49-F238E27FC236}">
                  <a16:creationId xmlns:a16="http://schemas.microsoft.com/office/drawing/2014/main" id="{00000000-0008-0000-0A00-00004C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4</xdr:col>
          <xdr:colOff>114300</xdr:colOff>
          <xdr:row>6</xdr:row>
          <xdr:rowOff>60960</xdr:rowOff>
        </xdr:from>
        <xdr:to>
          <xdr:col>4</xdr:col>
          <xdr:colOff>1104900</xdr:colOff>
          <xdr:row>7</xdr:row>
          <xdr:rowOff>99060</xdr:rowOff>
        </xdr:to>
        <xdr:sp macro="" textlink="">
          <xdr:nvSpPr>
            <xdr:cNvPr id="3149" name="cbCMAvsAlpha" hidden="1">
              <a:extLst>
                <a:ext uri="{63B3BB69-23CF-44E3-9099-C40C66FF867C}">
                  <a14:compatExt spid="_x0000_s3149"/>
                </a:ext>
                <a:ext uri="{FF2B5EF4-FFF2-40B4-BE49-F238E27FC236}">
                  <a16:creationId xmlns:a16="http://schemas.microsoft.com/office/drawing/2014/main" id="{00000000-0008-0000-0A00-00004D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6</xdr:col>
          <xdr:colOff>198120</xdr:colOff>
          <xdr:row>4</xdr:row>
          <xdr:rowOff>137160</xdr:rowOff>
        </xdr:from>
        <xdr:to>
          <xdr:col>8</xdr:col>
          <xdr:colOff>373380</xdr:colOff>
          <xdr:row>6</xdr:row>
          <xdr:rowOff>7620</xdr:rowOff>
        </xdr:to>
        <xdr:sp macro="" textlink="">
          <xdr:nvSpPr>
            <xdr:cNvPr id="3150" name="cbCNBvsAlpha" hidden="1">
              <a:extLst>
                <a:ext uri="{63B3BB69-23CF-44E3-9099-C40C66FF867C}">
                  <a14:compatExt spid="_x0000_s3150"/>
                </a:ext>
                <a:ext uri="{FF2B5EF4-FFF2-40B4-BE49-F238E27FC236}">
                  <a16:creationId xmlns:a16="http://schemas.microsoft.com/office/drawing/2014/main" id="{00000000-0008-0000-0A00-00004E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6</xdr:col>
          <xdr:colOff>198120</xdr:colOff>
          <xdr:row>6</xdr:row>
          <xdr:rowOff>60960</xdr:rowOff>
        </xdr:from>
        <xdr:to>
          <xdr:col>8</xdr:col>
          <xdr:colOff>373380</xdr:colOff>
          <xdr:row>7</xdr:row>
          <xdr:rowOff>99060</xdr:rowOff>
        </xdr:to>
        <xdr:sp macro="" textlink="">
          <xdr:nvSpPr>
            <xdr:cNvPr id="3151" name="cbCLBvsAlpha" hidden="1">
              <a:extLst>
                <a:ext uri="{63B3BB69-23CF-44E3-9099-C40C66FF867C}">
                  <a14:compatExt spid="_x0000_s3151"/>
                </a:ext>
                <a:ext uri="{FF2B5EF4-FFF2-40B4-BE49-F238E27FC236}">
                  <a16:creationId xmlns:a16="http://schemas.microsoft.com/office/drawing/2014/main" id="{00000000-0008-0000-0A00-00004F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4</xdr:col>
          <xdr:colOff>114300</xdr:colOff>
          <xdr:row>3</xdr:row>
          <xdr:rowOff>45720</xdr:rowOff>
        </xdr:from>
        <xdr:to>
          <xdr:col>4</xdr:col>
          <xdr:colOff>1104900</xdr:colOff>
          <xdr:row>4</xdr:row>
          <xdr:rowOff>99060</xdr:rowOff>
        </xdr:to>
        <xdr:sp macro="" textlink="">
          <xdr:nvSpPr>
            <xdr:cNvPr id="3152" name="cbCMvsCL" hidden="1">
              <a:extLst>
                <a:ext uri="{63B3BB69-23CF-44E3-9099-C40C66FF867C}">
                  <a14:compatExt spid="_x0000_s3152"/>
                </a:ext>
                <a:ext uri="{FF2B5EF4-FFF2-40B4-BE49-F238E27FC236}">
                  <a16:creationId xmlns:a16="http://schemas.microsoft.com/office/drawing/2014/main" id="{00000000-0008-0000-0A00-000050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4</xdr:col>
          <xdr:colOff>1211580</xdr:colOff>
          <xdr:row>4</xdr:row>
          <xdr:rowOff>137160</xdr:rowOff>
        </xdr:from>
        <xdr:to>
          <xdr:col>5</xdr:col>
          <xdr:colOff>601980</xdr:colOff>
          <xdr:row>6</xdr:row>
          <xdr:rowOff>7620</xdr:rowOff>
        </xdr:to>
        <xdr:sp macro="" textlink="">
          <xdr:nvSpPr>
            <xdr:cNvPr id="3158" name="cbAlphaVsCn" hidden="1">
              <a:extLst>
                <a:ext uri="{63B3BB69-23CF-44E3-9099-C40C66FF867C}">
                  <a14:compatExt spid="_x0000_s3158"/>
                </a:ext>
                <a:ext uri="{FF2B5EF4-FFF2-40B4-BE49-F238E27FC236}">
                  <a16:creationId xmlns:a16="http://schemas.microsoft.com/office/drawing/2014/main" id="{00000000-0008-0000-0A00-000056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4</xdr:col>
          <xdr:colOff>1211580</xdr:colOff>
          <xdr:row>6</xdr:row>
          <xdr:rowOff>60960</xdr:rowOff>
        </xdr:from>
        <xdr:to>
          <xdr:col>5</xdr:col>
          <xdr:colOff>601980</xdr:colOff>
          <xdr:row>7</xdr:row>
          <xdr:rowOff>99060</xdr:rowOff>
        </xdr:to>
        <xdr:sp macro="" textlink="">
          <xdr:nvSpPr>
            <xdr:cNvPr id="3159" name="cbAlphaVsCLR" hidden="1">
              <a:extLst>
                <a:ext uri="{63B3BB69-23CF-44E3-9099-C40C66FF867C}">
                  <a14:compatExt spid="_x0000_s3159"/>
                </a:ext>
                <a:ext uri="{FF2B5EF4-FFF2-40B4-BE49-F238E27FC236}">
                  <a16:creationId xmlns:a16="http://schemas.microsoft.com/office/drawing/2014/main" id="{00000000-0008-0000-0A00-000057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4</xdr:col>
          <xdr:colOff>114300</xdr:colOff>
          <xdr:row>4</xdr:row>
          <xdr:rowOff>137160</xdr:rowOff>
        </xdr:from>
        <xdr:to>
          <xdr:col>4</xdr:col>
          <xdr:colOff>1104900</xdr:colOff>
          <xdr:row>6</xdr:row>
          <xdr:rowOff>7620</xdr:rowOff>
        </xdr:to>
        <xdr:sp macro="" textlink="">
          <xdr:nvSpPr>
            <xdr:cNvPr id="3160" name="cbAlphaVsCY" hidden="1">
              <a:extLst>
                <a:ext uri="{63B3BB69-23CF-44E3-9099-C40C66FF867C}">
                  <a14:compatExt spid="_x0000_s3160"/>
                </a:ext>
                <a:ext uri="{FF2B5EF4-FFF2-40B4-BE49-F238E27FC236}">
                  <a16:creationId xmlns:a16="http://schemas.microsoft.com/office/drawing/2014/main" id="{00000000-0008-0000-0A00-000058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8</xdr:col>
          <xdr:colOff>457200</xdr:colOff>
          <xdr:row>3</xdr:row>
          <xdr:rowOff>45720</xdr:rowOff>
        </xdr:from>
        <xdr:to>
          <xdr:col>10</xdr:col>
          <xdr:colOff>601980</xdr:colOff>
          <xdr:row>4</xdr:row>
          <xdr:rowOff>99060</xdr:rowOff>
        </xdr:to>
        <xdr:sp macro="" textlink="">
          <xdr:nvSpPr>
            <xdr:cNvPr id="3161" name="cbCYbvsCL" hidden="1">
              <a:extLst>
                <a:ext uri="{63B3BB69-23CF-44E3-9099-C40C66FF867C}">
                  <a14:compatExt spid="_x0000_s3161"/>
                </a:ext>
                <a:ext uri="{FF2B5EF4-FFF2-40B4-BE49-F238E27FC236}">
                  <a16:creationId xmlns:a16="http://schemas.microsoft.com/office/drawing/2014/main" id="{00000000-0008-0000-0A00-000059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8</xdr:col>
          <xdr:colOff>457200</xdr:colOff>
          <xdr:row>6</xdr:row>
          <xdr:rowOff>60960</xdr:rowOff>
        </xdr:from>
        <xdr:to>
          <xdr:col>10</xdr:col>
          <xdr:colOff>601980</xdr:colOff>
          <xdr:row>7</xdr:row>
          <xdr:rowOff>99060</xdr:rowOff>
        </xdr:to>
        <xdr:sp macro="" textlink="">
          <xdr:nvSpPr>
            <xdr:cNvPr id="3163" name="cbCLBvsCL" hidden="1">
              <a:extLst>
                <a:ext uri="{63B3BB69-23CF-44E3-9099-C40C66FF867C}">
                  <a14:compatExt spid="_x0000_s3163"/>
                </a:ext>
                <a:ext uri="{FF2B5EF4-FFF2-40B4-BE49-F238E27FC236}">
                  <a16:creationId xmlns:a16="http://schemas.microsoft.com/office/drawing/2014/main" id="{00000000-0008-0000-0A00-00005B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5</xdr:col>
          <xdr:colOff>708660</xdr:colOff>
          <xdr:row>3</xdr:row>
          <xdr:rowOff>45720</xdr:rowOff>
        </xdr:from>
        <xdr:to>
          <xdr:col>5</xdr:col>
          <xdr:colOff>1699260</xdr:colOff>
          <xdr:row>4</xdr:row>
          <xdr:rowOff>99060</xdr:rowOff>
        </xdr:to>
        <xdr:sp macro="" textlink="">
          <xdr:nvSpPr>
            <xdr:cNvPr id="3164" name="cbStaticMargin" hidden="1">
              <a:extLst>
                <a:ext uri="{63B3BB69-23CF-44E3-9099-C40C66FF867C}">
                  <a14:compatExt spid="_x0000_s3164"/>
                </a:ext>
                <a:ext uri="{FF2B5EF4-FFF2-40B4-BE49-F238E27FC236}">
                  <a16:creationId xmlns:a16="http://schemas.microsoft.com/office/drawing/2014/main" id="{00000000-0008-0000-0A00-00005C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6</xdr:col>
          <xdr:colOff>198120</xdr:colOff>
          <xdr:row>3</xdr:row>
          <xdr:rowOff>45720</xdr:rowOff>
        </xdr:from>
        <xdr:to>
          <xdr:col>8</xdr:col>
          <xdr:colOff>373380</xdr:colOff>
          <xdr:row>4</xdr:row>
          <xdr:rowOff>99060</xdr:rowOff>
        </xdr:to>
        <xdr:sp macro="" textlink="">
          <xdr:nvSpPr>
            <xdr:cNvPr id="3165" name="cbCYBvsAlpha" hidden="1">
              <a:extLst>
                <a:ext uri="{63B3BB69-23CF-44E3-9099-C40C66FF867C}">
                  <a14:compatExt spid="_x0000_s3165"/>
                </a:ext>
                <a:ext uri="{FF2B5EF4-FFF2-40B4-BE49-F238E27FC236}">
                  <a16:creationId xmlns:a16="http://schemas.microsoft.com/office/drawing/2014/main" id="{00000000-0008-0000-0A00-00005D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5</xdr:col>
          <xdr:colOff>708660</xdr:colOff>
          <xdr:row>6</xdr:row>
          <xdr:rowOff>60960</xdr:rowOff>
        </xdr:from>
        <xdr:to>
          <xdr:col>5</xdr:col>
          <xdr:colOff>1699260</xdr:colOff>
          <xdr:row>7</xdr:row>
          <xdr:rowOff>99060</xdr:rowOff>
        </xdr:to>
        <xdr:sp macro="" textlink="">
          <xdr:nvSpPr>
            <xdr:cNvPr id="3166" name="Checkbox7" hidden="1">
              <a:extLst>
                <a:ext uri="{63B3BB69-23CF-44E3-9099-C40C66FF867C}">
                  <a14:compatExt spid="_x0000_s3166"/>
                </a:ext>
                <a:ext uri="{FF2B5EF4-FFF2-40B4-BE49-F238E27FC236}">
                  <a16:creationId xmlns:a16="http://schemas.microsoft.com/office/drawing/2014/main" id="{00000000-0008-0000-0A00-00005E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4</xdr:col>
          <xdr:colOff>1211580</xdr:colOff>
          <xdr:row>3</xdr:row>
          <xdr:rowOff>45720</xdr:rowOff>
        </xdr:from>
        <xdr:to>
          <xdr:col>5</xdr:col>
          <xdr:colOff>601980</xdr:colOff>
          <xdr:row>4</xdr:row>
          <xdr:rowOff>99060</xdr:rowOff>
        </xdr:to>
        <xdr:sp macro="" textlink="">
          <xdr:nvSpPr>
            <xdr:cNvPr id="3167" name="cbCMvsAlpha" hidden="1">
              <a:extLst>
                <a:ext uri="{63B3BB69-23CF-44E3-9099-C40C66FF867C}">
                  <a14:compatExt spid="_x0000_s3167"/>
                </a:ext>
                <a:ext uri="{FF2B5EF4-FFF2-40B4-BE49-F238E27FC236}">
                  <a16:creationId xmlns:a16="http://schemas.microsoft.com/office/drawing/2014/main" id="{00000000-0008-0000-0A00-00005F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449580</xdr:colOff>
          <xdr:row>11</xdr:row>
          <xdr:rowOff>7620</xdr:rowOff>
        </xdr:from>
        <xdr:to>
          <xdr:col>3</xdr:col>
          <xdr:colOff>876300</xdr:colOff>
          <xdr:row>12</xdr:row>
          <xdr:rowOff>0</xdr:rowOff>
        </xdr:to>
        <xdr:sp macro="" textlink="">
          <xdr:nvSpPr>
            <xdr:cNvPr id="3170" name="cmdCloseFile1" hidden="1">
              <a:extLst>
                <a:ext uri="{63B3BB69-23CF-44E3-9099-C40C66FF867C}">
                  <a14:compatExt spid="_x0000_s3170"/>
                </a:ext>
                <a:ext uri="{FF2B5EF4-FFF2-40B4-BE49-F238E27FC236}">
                  <a16:creationId xmlns:a16="http://schemas.microsoft.com/office/drawing/2014/main" id="{00000000-0008-0000-0A00-000062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449580</xdr:colOff>
          <xdr:row>12</xdr:row>
          <xdr:rowOff>7620</xdr:rowOff>
        </xdr:from>
        <xdr:to>
          <xdr:col>3</xdr:col>
          <xdr:colOff>876300</xdr:colOff>
          <xdr:row>13</xdr:row>
          <xdr:rowOff>0</xdr:rowOff>
        </xdr:to>
        <xdr:sp macro="" textlink="">
          <xdr:nvSpPr>
            <xdr:cNvPr id="3171" name="cmdCloseFile2" hidden="1">
              <a:extLst>
                <a:ext uri="{63B3BB69-23CF-44E3-9099-C40C66FF867C}">
                  <a14:compatExt spid="_x0000_s3171"/>
                </a:ext>
                <a:ext uri="{FF2B5EF4-FFF2-40B4-BE49-F238E27FC236}">
                  <a16:creationId xmlns:a16="http://schemas.microsoft.com/office/drawing/2014/main" id="{00000000-0008-0000-0A00-000063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449580</xdr:colOff>
          <xdr:row>13</xdr:row>
          <xdr:rowOff>7620</xdr:rowOff>
        </xdr:from>
        <xdr:to>
          <xdr:col>3</xdr:col>
          <xdr:colOff>876300</xdr:colOff>
          <xdr:row>14</xdr:row>
          <xdr:rowOff>0</xdr:rowOff>
        </xdr:to>
        <xdr:sp macro="" textlink="">
          <xdr:nvSpPr>
            <xdr:cNvPr id="3172" name="cmdCloseFile3" hidden="1">
              <a:extLst>
                <a:ext uri="{63B3BB69-23CF-44E3-9099-C40C66FF867C}">
                  <a14:compatExt spid="_x0000_s3172"/>
                </a:ext>
                <a:ext uri="{FF2B5EF4-FFF2-40B4-BE49-F238E27FC236}">
                  <a16:creationId xmlns:a16="http://schemas.microsoft.com/office/drawing/2014/main" id="{00000000-0008-0000-0A00-000064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449580</xdr:colOff>
          <xdr:row>14</xdr:row>
          <xdr:rowOff>7620</xdr:rowOff>
        </xdr:from>
        <xdr:to>
          <xdr:col>3</xdr:col>
          <xdr:colOff>876300</xdr:colOff>
          <xdr:row>15</xdr:row>
          <xdr:rowOff>0</xdr:rowOff>
        </xdr:to>
        <xdr:sp macro="" textlink="">
          <xdr:nvSpPr>
            <xdr:cNvPr id="3173" name="cmdCloseFile4" hidden="1">
              <a:extLst>
                <a:ext uri="{63B3BB69-23CF-44E3-9099-C40C66FF867C}">
                  <a14:compatExt spid="_x0000_s3173"/>
                </a:ext>
                <a:ext uri="{FF2B5EF4-FFF2-40B4-BE49-F238E27FC236}">
                  <a16:creationId xmlns:a16="http://schemas.microsoft.com/office/drawing/2014/main" id="{00000000-0008-0000-0A00-000065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449580</xdr:colOff>
          <xdr:row>15</xdr:row>
          <xdr:rowOff>7620</xdr:rowOff>
        </xdr:from>
        <xdr:to>
          <xdr:col>4</xdr:col>
          <xdr:colOff>0</xdr:colOff>
          <xdr:row>16</xdr:row>
          <xdr:rowOff>0</xdr:rowOff>
        </xdr:to>
        <xdr:sp macro="" textlink="">
          <xdr:nvSpPr>
            <xdr:cNvPr id="3174" name="cmdCloseFile5" hidden="1">
              <a:extLst>
                <a:ext uri="{63B3BB69-23CF-44E3-9099-C40C66FF867C}">
                  <a14:compatExt spid="_x0000_s3174"/>
                </a:ext>
                <a:ext uri="{FF2B5EF4-FFF2-40B4-BE49-F238E27FC236}">
                  <a16:creationId xmlns:a16="http://schemas.microsoft.com/office/drawing/2014/main" id="{00000000-0008-0000-0A00-000066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449580</xdr:colOff>
          <xdr:row>16</xdr:row>
          <xdr:rowOff>7620</xdr:rowOff>
        </xdr:from>
        <xdr:to>
          <xdr:col>4</xdr:col>
          <xdr:colOff>0</xdr:colOff>
          <xdr:row>17</xdr:row>
          <xdr:rowOff>0</xdr:rowOff>
        </xdr:to>
        <xdr:sp macro="" textlink="">
          <xdr:nvSpPr>
            <xdr:cNvPr id="3175" name="cmdCloseFile6" hidden="1">
              <a:extLst>
                <a:ext uri="{63B3BB69-23CF-44E3-9099-C40C66FF867C}">
                  <a14:compatExt spid="_x0000_s3175"/>
                </a:ext>
                <a:ext uri="{FF2B5EF4-FFF2-40B4-BE49-F238E27FC236}">
                  <a16:creationId xmlns:a16="http://schemas.microsoft.com/office/drawing/2014/main" id="{00000000-0008-0000-0A00-000067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449580</xdr:colOff>
          <xdr:row>17</xdr:row>
          <xdr:rowOff>7620</xdr:rowOff>
        </xdr:from>
        <xdr:to>
          <xdr:col>4</xdr:col>
          <xdr:colOff>0</xdr:colOff>
          <xdr:row>18</xdr:row>
          <xdr:rowOff>0</xdr:rowOff>
        </xdr:to>
        <xdr:sp macro="" textlink="">
          <xdr:nvSpPr>
            <xdr:cNvPr id="3176" name="cmdCloseFile7" hidden="1">
              <a:extLst>
                <a:ext uri="{63B3BB69-23CF-44E3-9099-C40C66FF867C}">
                  <a14:compatExt spid="_x0000_s3176"/>
                </a:ext>
                <a:ext uri="{FF2B5EF4-FFF2-40B4-BE49-F238E27FC236}">
                  <a16:creationId xmlns:a16="http://schemas.microsoft.com/office/drawing/2014/main" id="{00000000-0008-0000-0A00-000068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449580</xdr:colOff>
          <xdr:row>18</xdr:row>
          <xdr:rowOff>7620</xdr:rowOff>
        </xdr:from>
        <xdr:to>
          <xdr:col>4</xdr:col>
          <xdr:colOff>0</xdr:colOff>
          <xdr:row>19</xdr:row>
          <xdr:rowOff>0</xdr:rowOff>
        </xdr:to>
        <xdr:sp macro="" textlink="">
          <xdr:nvSpPr>
            <xdr:cNvPr id="3177" name="cmdCloseFile8" hidden="1">
              <a:extLst>
                <a:ext uri="{63B3BB69-23CF-44E3-9099-C40C66FF867C}">
                  <a14:compatExt spid="_x0000_s3177"/>
                </a:ext>
                <a:ext uri="{FF2B5EF4-FFF2-40B4-BE49-F238E27FC236}">
                  <a16:creationId xmlns:a16="http://schemas.microsoft.com/office/drawing/2014/main" id="{00000000-0008-0000-0A00-000069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5</xdr:col>
          <xdr:colOff>708660</xdr:colOff>
          <xdr:row>4</xdr:row>
          <xdr:rowOff>137160</xdr:rowOff>
        </xdr:from>
        <xdr:to>
          <xdr:col>5</xdr:col>
          <xdr:colOff>1699260</xdr:colOff>
          <xdr:row>6</xdr:row>
          <xdr:rowOff>7620</xdr:rowOff>
        </xdr:to>
        <xdr:sp macro="" textlink="">
          <xdr:nvSpPr>
            <xdr:cNvPr id="3179" name="cbCLAvsAlpha" hidden="1">
              <a:extLst>
                <a:ext uri="{63B3BB69-23CF-44E3-9099-C40C66FF867C}">
                  <a14:compatExt spid="_x0000_s3179"/>
                </a:ext>
                <a:ext uri="{FF2B5EF4-FFF2-40B4-BE49-F238E27FC236}">
                  <a16:creationId xmlns:a16="http://schemas.microsoft.com/office/drawing/2014/main" id="{00000000-0008-0000-0A00-00006B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8</xdr:col>
          <xdr:colOff>457200</xdr:colOff>
          <xdr:row>4</xdr:row>
          <xdr:rowOff>137160</xdr:rowOff>
        </xdr:from>
        <xdr:to>
          <xdr:col>10</xdr:col>
          <xdr:colOff>601980</xdr:colOff>
          <xdr:row>6</xdr:row>
          <xdr:rowOff>7620</xdr:rowOff>
        </xdr:to>
        <xdr:sp macro="" textlink="">
          <xdr:nvSpPr>
            <xdr:cNvPr id="3183" name="cbCNBvsCL" hidden="1">
              <a:extLst>
                <a:ext uri="{63B3BB69-23CF-44E3-9099-C40C66FF867C}">
                  <a14:compatExt spid="_x0000_s3183"/>
                </a:ext>
                <a:ext uri="{FF2B5EF4-FFF2-40B4-BE49-F238E27FC236}">
                  <a16:creationId xmlns:a16="http://schemas.microsoft.com/office/drawing/2014/main" id="{00000000-0008-0000-0A00-00006F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16</xdr:col>
          <xdr:colOff>289560</xdr:colOff>
          <xdr:row>4</xdr:row>
          <xdr:rowOff>99060</xdr:rowOff>
        </xdr:from>
        <xdr:to>
          <xdr:col>19</xdr:col>
          <xdr:colOff>236220</xdr:colOff>
          <xdr:row>7</xdr:row>
          <xdr:rowOff>99060</xdr:rowOff>
        </xdr:to>
        <xdr:sp macro="" textlink="">
          <xdr:nvSpPr>
            <xdr:cNvPr id="3188" name="cmdDeleteCharts" hidden="1">
              <a:extLst>
                <a:ext uri="{63B3BB69-23CF-44E3-9099-C40C66FF867C}">
                  <a14:compatExt spid="_x0000_s3188"/>
                </a:ext>
                <a:ext uri="{FF2B5EF4-FFF2-40B4-BE49-F238E27FC236}">
                  <a16:creationId xmlns:a16="http://schemas.microsoft.com/office/drawing/2014/main" id="{00000000-0008-0000-0A00-000074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19</xdr:col>
          <xdr:colOff>83820</xdr:colOff>
          <xdr:row>11</xdr:row>
          <xdr:rowOff>60960</xdr:rowOff>
        </xdr:from>
        <xdr:to>
          <xdr:col>19</xdr:col>
          <xdr:colOff>228600</xdr:colOff>
          <xdr:row>11</xdr:row>
          <xdr:rowOff>259080</xdr:rowOff>
        </xdr:to>
        <xdr:sp macro="" textlink="">
          <xdr:nvSpPr>
            <xdr:cNvPr id="3507" name="cbWallEffect1" hidden="1">
              <a:extLst>
                <a:ext uri="{63B3BB69-23CF-44E3-9099-C40C66FF867C}">
                  <a14:compatExt spid="_x0000_s3507"/>
                </a:ext>
                <a:ext uri="{FF2B5EF4-FFF2-40B4-BE49-F238E27FC236}">
                  <a16:creationId xmlns:a16="http://schemas.microsoft.com/office/drawing/2014/main" id="{00000000-0008-0000-0A00-0000B30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19</xdr:col>
          <xdr:colOff>83820</xdr:colOff>
          <xdr:row>12</xdr:row>
          <xdr:rowOff>60960</xdr:rowOff>
        </xdr:from>
        <xdr:to>
          <xdr:col>19</xdr:col>
          <xdr:colOff>228600</xdr:colOff>
          <xdr:row>12</xdr:row>
          <xdr:rowOff>259080</xdr:rowOff>
        </xdr:to>
        <xdr:sp macro="" textlink="">
          <xdr:nvSpPr>
            <xdr:cNvPr id="3511" name="cbWallEffect2" hidden="1">
              <a:extLst>
                <a:ext uri="{63B3BB69-23CF-44E3-9099-C40C66FF867C}">
                  <a14:compatExt spid="_x0000_s3511"/>
                </a:ext>
                <a:ext uri="{FF2B5EF4-FFF2-40B4-BE49-F238E27FC236}">
                  <a16:creationId xmlns:a16="http://schemas.microsoft.com/office/drawing/2014/main" id="{00000000-0008-0000-0A00-0000B70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19</xdr:col>
          <xdr:colOff>83820</xdr:colOff>
          <xdr:row>13</xdr:row>
          <xdr:rowOff>60960</xdr:rowOff>
        </xdr:from>
        <xdr:to>
          <xdr:col>19</xdr:col>
          <xdr:colOff>228600</xdr:colOff>
          <xdr:row>13</xdr:row>
          <xdr:rowOff>259080</xdr:rowOff>
        </xdr:to>
        <xdr:sp macro="" textlink="">
          <xdr:nvSpPr>
            <xdr:cNvPr id="3512" name="cbWallEffect3" hidden="1">
              <a:extLst>
                <a:ext uri="{63B3BB69-23CF-44E3-9099-C40C66FF867C}">
                  <a14:compatExt spid="_x0000_s3512"/>
                </a:ext>
                <a:ext uri="{FF2B5EF4-FFF2-40B4-BE49-F238E27FC236}">
                  <a16:creationId xmlns:a16="http://schemas.microsoft.com/office/drawing/2014/main" id="{00000000-0008-0000-0A00-0000B80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19</xdr:col>
          <xdr:colOff>83820</xdr:colOff>
          <xdr:row>14</xdr:row>
          <xdr:rowOff>60960</xdr:rowOff>
        </xdr:from>
        <xdr:to>
          <xdr:col>19</xdr:col>
          <xdr:colOff>228600</xdr:colOff>
          <xdr:row>14</xdr:row>
          <xdr:rowOff>259080</xdr:rowOff>
        </xdr:to>
        <xdr:sp macro="" textlink="">
          <xdr:nvSpPr>
            <xdr:cNvPr id="3513" name="cbWallEffect4" hidden="1">
              <a:extLst>
                <a:ext uri="{63B3BB69-23CF-44E3-9099-C40C66FF867C}">
                  <a14:compatExt spid="_x0000_s3513"/>
                </a:ext>
                <a:ext uri="{FF2B5EF4-FFF2-40B4-BE49-F238E27FC236}">
                  <a16:creationId xmlns:a16="http://schemas.microsoft.com/office/drawing/2014/main" id="{00000000-0008-0000-0A00-0000B90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19</xdr:col>
          <xdr:colOff>83820</xdr:colOff>
          <xdr:row>15</xdr:row>
          <xdr:rowOff>45720</xdr:rowOff>
        </xdr:from>
        <xdr:to>
          <xdr:col>19</xdr:col>
          <xdr:colOff>228600</xdr:colOff>
          <xdr:row>15</xdr:row>
          <xdr:rowOff>251460</xdr:rowOff>
        </xdr:to>
        <xdr:sp macro="" textlink="">
          <xdr:nvSpPr>
            <xdr:cNvPr id="3514" name="cbWallEffect5" hidden="1">
              <a:extLst>
                <a:ext uri="{63B3BB69-23CF-44E3-9099-C40C66FF867C}">
                  <a14:compatExt spid="_x0000_s3514"/>
                </a:ext>
                <a:ext uri="{FF2B5EF4-FFF2-40B4-BE49-F238E27FC236}">
                  <a16:creationId xmlns:a16="http://schemas.microsoft.com/office/drawing/2014/main" id="{00000000-0008-0000-0A00-0000BA0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19</xdr:col>
          <xdr:colOff>83820</xdr:colOff>
          <xdr:row>16</xdr:row>
          <xdr:rowOff>45720</xdr:rowOff>
        </xdr:from>
        <xdr:to>
          <xdr:col>19</xdr:col>
          <xdr:colOff>228600</xdr:colOff>
          <xdr:row>16</xdr:row>
          <xdr:rowOff>251460</xdr:rowOff>
        </xdr:to>
        <xdr:sp macro="" textlink="">
          <xdr:nvSpPr>
            <xdr:cNvPr id="3515" name="cbWallEffect6" hidden="1">
              <a:extLst>
                <a:ext uri="{63B3BB69-23CF-44E3-9099-C40C66FF867C}">
                  <a14:compatExt spid="_x0000_s3515"/>
                </a:ext>
                <a:ext uri="{FF2B5EF4-FFF2-40B4-BE49-F238E27FC236}">
                  <a16:creationId xmlns:a16="http://schemas.microsoft.com/office/drawing/2014/main" id="{00000000-0008-0000-0A00-0000BB0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19</xdr:col>
          <xdr:colOff>83820</xdr:colOff>
          <xdr:row>17</xdr:row>
          <xdr:rowOff>38100</xdr:rowOff>
        </xdr:from>
        <xdr:to>
          <xdr:col>19</xdr:col>
          <xdr:colOff>228600</xdr:colOff>
          <xdr:row>17</xdr:row>
          <xdr:rowOff>236220</xdr:rowOff>
        </xdr:to>
        <xdr:sp macro="" textlink="">
          <xdr:nvSpPr>
            <xdr:cNvPr id="3516" name="cbWallEffect7" hidden="1">
              <a:extLst>
                <a:ext uri="{63B3BB69-23CF-44E3-9099-C40C66FF867C}">
                  <a14:compatExt spid="_x0000_s3516"/>
                </a:ext>
                <a:ext uri="{FF2B5EF4-FFF2-40B4-BE49-F238E27FC236}">
                  <a16:creationId xmlns:a16="http://schemas.microsoft.com/office/drawing/2014/main" id="{00000000-0008-0000-0A00-0000BC0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19</xdr:col>
          <xdr:colOff>83820</xdr:colOff>
          <xdr:row>18</xdr:row>
          <xdr:rowOff>45720</xdr:rowOff>
        </xdr:from>
        <xdr:to>
          <xdr:col>19</xdr:col>
          <xdr:colOff>228600</xdr:colOff>
          <xdr:row>18</xdr:row>
          <xdr:rowOff>251460</xdr:rowOff>
        </xdr:to>
        <xdr:sp macro="" textlink="">
          <xdr:nvSpPr>
            <xdr:cNvPr id="3517" name="cbWallEffect8" hidden="1">
              <a:extLst>
                <a:ext uri="{63B3BB69-23CF-44E3-9099-C40C66FF867C}">
                  <a14:compatExt spid="_x0000_s3517"/>
                </a:ext>
                <a:ext uri="{FF2B5EF4-FFF2-40B4-BE49-F238E27FC236}">
                  <a16:creationId xmlns:a16="http://schemas.microsoft.com/office/drawing/2014/main" id="{00000000-0008-0000-0A00-0000BD0D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1</xdr:col>
          <xdr:colOff>38100</xdr:colOff>
          <xdr:row>17</xdr:row>
          <xdr:rowOff>45720</xdr:rowOff>
        </xdr:from>
        <xdr:to>
          <xdr:col>5</xdr:col>
          <xdr:colOff>868680</xdr:colOff>
          <xdr:row>18</xdr:row>
          <xdr:rowOff>83820</xdr:rowOff>
        </xdr:to>
        <xdr:sp macro="" textlink="">
          <xdr:nvSpPr>
            <xdr:cNvPr id="4107" name="cbDeleteUserFields" hidden="1">
              <a:extLst>
                <a:ext uri="{63B3BB69-23CF-44E3-9099-C40C66FF867C}">
                  <a14:compatExt spid="_x0000_s4107"/>
                </a:ext>
                <a:ext uri="{FF2B5EF4-FFF2-40B4-BE49-F238E27FC236}">
                  <a16:creationId xmlns:a16="http://schemas.microsoft.com/office/drawing/2014/main" id="{00000000-0008-0000-0C00-00000B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13" Type="http://schemas.openxmlformats.org/officeDocument/2006/relationships/image" Target="../media/image5.emf"/><Relationship Id="rId18" Type="http://schemas.openxmlformats.org/officeDocument/2006/relationships/control" Target="../activeX/activeX8.xml"/><Relationship Id="rId26" Type="http://schemas.openxmlformats.org/officeDocument/2006/relationships/control" Target="../activeX/activeX12.xml"/><Relationship Id="rId39" Type="http://schemas.openxmlformats.org/officeDocument/2006/relationships/image" Target="../media/image18.emf"/><Relationship Id="rId21" Type="http://schemas.openxmlformats.org/officeDocument/2006/relationships/image" Target="../media/image9.emf"/><Relationship Id="rId34" Type="http://schemas.openxmlformats.org/officeDocument/2006/relationships/control" Target="../activeX/activeX16.xml"/><Relationship Id="rId42" Type="http://schemas.openxmlformats.org/officeDocument/2006/relationships/control" Target="../activeX/activeX20.xml"/><Relationship Id="rId47" Type="http://schemas.openxmlformats.org/officeDocument/2006/relationships/image" Target="../media/image22.emf"/><Relationship Id="rId50" Type="http://schemas.openxmlformats.org/officeDocument/2006/relationships/control" Target="../activeX/activeX24.xml"/><Relationship Id="rId55" Type="http://schemas.openxmlformats.org/officeDocument/2006/relationships/image" Target="../media/image26.emf"/><Relationship Id="rId63" Type="http://schemas.openxmlformats.org/officeDocument/2006/relationships/image" Target="../media/image30.emf"/><Relationship Id="rId68" Type="http://schemas.openxmlformats.org/officeDocument/2006/relationships/control" Target="../activeX/activeX33.xml"/><Relationship Id="rId76" Type="http://schemas.openxmlformats.org/officeDocument/2006/relationships/control" Target="../activeX/activeX37.xml"/><Relationship Id="rId84" Type="http://schemas.openxmlformats.org/officeDocument/2006/relationships/control" Target="../activeX/activeX43.xml"/><Relationship Id="rId7" Type="http://schemas.openxmlformats.org/officeDocument/2006/relationships/image" Target="../media/image2.emf"/><Relationship Id="rId71" Type="http://schemas.openxmlformats.org/officeDocument/2006/relationships/image" Target="../media/image34.emf"/><Relationship Id="rId2" Type="http://schemas.openxmlformats.org/officeDocument/2006/relationships/drawing" Target="../drawings/drawing21.xml"/><Relationship Id="rId16" Type="http://schemas.openxmlformats.org/officeDocument/2006/relationships/control" Target="../activeX/activeX7.xml"/><Relationship Id="rId29" Type="http://schemas.openxmlformats.org/officeDocument/2006/relationships/image" Target="../media/image13.emf"/><Relationship Id="rId11" Type="http://schemas.openxmlformats.org/officeDocument/2006/relationships/image" Target="../media/image4.emf"/><Relationship Id="rId24" Type="http://schemas.openxmlformats.org/officeDocument/2006/relationships/control" Target="../activeX/activeX11.xml"/><Relationship Id="rId32" Type="http://schemas.openxmlformats.org/officeDocument/2006/relationships/control" Target="../activeX/activeX15.xml"/><Relationship Id="rId37" Type="http://schemas.openxmlformats.org/officeDocument/2006/relationships/image" Target="../media/image17.emf"/><Relationship Id="rId40" Type="http://schemas.openxmlformats.org/officeDocument/2006/relationships/control" Target="../activeX/activeX19.xml"/><Relationship Id="rId45" Type="http://schemas.openxmlformats.org/officeDocument/2006/relationships/image" Target="../media/image21.emf"/><Relationship Id="rId53" Type="http://schemas.openxmlformats.org/officeDocument/2006/relationships/image" Target="../media/image25.emf"/><Relationship Id="rId58" Type="http://schemas.openxmlformats.org/officeDocument/2006/relationships/control" Target="../activeX/activeX28.xml"/><Relationship Id="rId66" Type="http://schemas.openxmlformats.org/officeDocument/2006/relationships/control" Target="../activeX/activeX32.xml"/><Relationship Id="rId74" Type="http://schemas.openxmlformats.org/officeDocument/2006/relationships/control" Target="../activeX/activeX36.xml"/><Relationship Id="rId79" Type="http://schemas.openxmlformats.org/officeDocument/2006/relationships/control" Target="../activeX/activeX39.xml"/><Relationship Id="rId5" Type="http://schemas.openxmlformats.org/officeDocument/2006/relationships/image" Target="../media/image1.emf"/><Relationship Id="rId61" Type="http://schemas.openxmlformats.org/officeDocument/2006/relationships/image" Target="../media/image29.emf"/><Relationship Id="rId82" Type="http://schemas.openxmlformats.org/officeDocument/2006/relationships/image" Target="../media/image38.emf"/><Relationship Id="rId19" Type="http://schemas.openxmlformats.org/officeDocument/2006/relationships/image" Target="../media/image8.emf"/><Relationship Id="rId4" Type="http://schemas.openxmlformats.org/officeDocument/2006/relationships/control" Target="../activeX/activeX1.xml"/><Relationship Id="rId9" Type="http://schemas.openxmlformats.org/officeDocument/2006/relationships/image" Target="../media/image3.emf"/><Relationship Id="rId14" Type="http://schemas.openxmlformats.org/officeDocument/2006/relationships/control" Target="../activeX/activeX6.xml"/><Relationship Id="rId22" Type="http://schemas.openxmlformats.org/officeDocument/2006/relationships/control" Target="../activeX/activeX10.xml"/><Relationship Id="rId27" Type="http://schemas.openxmlformats.org/officeDocument/2006/relationships/image" Target="../media/image12.emf"/><Relationship Id="rId30" Type="http://schemas.openxmlformats.org/officeDocument/2006/relationships/control" Target="../activeX/activeX14.xml"/><Relationship Id="rId35" Type="http://schemas.openxmlformats.org/officeDocument/2006/relationships/image" Target="../media/image16.emf"/><Relationship Id="rId43" Type="http://schemas.openxmlformats.org/officeDocument/2006/relationships/image" Target="../media/image20.emf"/><Relationship Id="rId48" Type="http://schemas.openxmlformats.org/officeDocument/2006/relationships/control" Target="../activeX/activeX23.xml"/><Relationship Id="rId56" Type="http://schemas.openxmlformats.org/officeDocument/2006/relationships/control" Target="../activeX/activeX27.xml"/><Relationship Id="rId64" Type="http://schemas.openxmlformats.org/officeDocument/2006/relationships/control" Target="../activeX/activeX31.xml"/><Relationship Id="rId69" Type="http://schemas.openxmlformats.org/officeDocument/2006/relationships/image" Target="../media/image33.emf"/><Relationship Id="rId77" Type="http://schemas.openxmlformats.org/officeDocument/2006/relationships/image" Target="../media/image37.emf"/><Relationship Id="rId8" Type="http://schemas.openxmlformats.org/officeDocument/2006/relationships/control" Target="../activeX/activeX3.xml"/><Relationship Id="rId51" Type="http://schemas.openxmlformats.org/officeDocument/2006/relationships/image" Target="../media/image24.emf"/><Relationship Id="rId72" Type="http://schemas.openxmlformats.org/officeDocument/2006/relationships/control" Target="../activeX/activeX35.xml"/><Relationship Id="rId80" Type="http://schemas.openxmlformats.org/officeDocument/2006/relationships/control" Target="../activeX/activeX40.xml"/><Relationship Id="rId85" Type="http://schemas.openxmlformats.org/officeDocument/2006/relationships/control" Target="../activeX/activeX44.xml"/><Relationship Id="rId3" Type="http://schemas.openxmlformats.org/officeDocument/2006/relationships/vmlDrawing" Target="../drawings/vmlDrawing1.vml"/><Relationship Id="rId12" Type="http://schemas.openxmlformats.org/officeDocument/2006/relationships/control" Target="../activeX/activeX5.xml"/><Relationship Id="rId17" Type="http://schemas.openxmlformats.org/officeDocument/2006/relationships/image" Target="../media/image7.emf"/><Relationship Id="rId25" Type="http://schemas.openxmlformats.org/officeDocument/2006/relationships/image" Target="../media/image11.emf"/><Relationship Id="rId33" Type="http://schemas.openxmlformats.org/officeDocument/2006/relationships/image" Target="../media/image15.emf"/><Relationship Id="rId38" Type="http://schemas.openxmlformats.org/officeDocument/2006/relationships/control" Target="../activeX/activeX18.xml"/><Relationship Id="rId46" Type="http://schemas.openxmlformats.org/officeDocument/2006/relationships/control" Target="../activeX/activeX22.xml"/><Relationship Id="rId59" Type="http://schemas.openxmlformats.org/officeDocument/2006/relationships/image" Target="../media/image28.emf"/><Relationship Id="rId67" Type="http://schemas.openxmlformats.org/officeDocument/2006/relationships/image" Target="../media/image32.emf"/><Relationship Id="rId20" Type="http://schemas.openxmlformats.org/officeDocument/2006/relationships/control" Target="../activeX/activeX9.xml"/><Relationship Id="rId41" Type="http://schemas.openxmlformats.org/officeDocument/2006/relationships/image" Target="../media/image19.emf"/><Relationship Id="rId54" Type="http://schemas.openxmlformats.org/officeDocument/2006/relationships/control" Target="../activeX/activeX26.xml"/><Relationship Id="rId62" Type="http://schemas.openxmlformats.org/officeDocument/2006/relationships/control" Target="../activeX/activeX30.xml"/><Relationship Id="rId70" Type="http://schemas.openxmlformats.org/officeDocument/2006/relationships/control" Target="../activeX/activeX34.xml"/><Relationship Id="rId75" Type="http://schemas.openxmlformats.org/officeDocument/2006/relationships/image" Target="../media/image36.emf"/><Relationship Id="rId83" Type="http://schemas.openxmlformats.org/officeDocument/2006/relationships/control" Target="../activeX/activeX42.xml"/><Relationship Id="rId1" Type="http://schemas.openxmlformats.org/officeDocument/2006/relationships/printerSettings" Target="../printerSettings/printerSettings11.bin"/><Relationship Id="rId6" Type="http://schemas.openxmlformats.org/officeDocument/2006/relationships/control" Target="../activeX/activeX2.xml"/><Relationship Id="rId15" Type="http://schemas.openxmlformats.org/officeDocument/2006/relationships/image" Target="../media/image6.emf"/><Relationship Id="rId23" Type="http://schemas.openxmlformats.org/officeDocument/2006/relationships/image" Target="../media/image10.emf"/><Relationship Id="rId28" Type="http://schemas.openxmlformats.org/officeDocument/2006/relationships/control" Target="../activeX/activeX13.xml"/><Relationship Id="rId36" Type="http://schemas.openxmlformats.org/officeDocument/2006/relationships/control" Target="../activeX/activeX17.xml"/><Relationship Id="rId49" Type="http://schemas.openxmlformats.org/officeDocument/2006/relationships/image" Target="../media/image23.emf"/><Relationship Id="rId57" Type="http://schemas.openxmlformats.org/officeDocument/2006/relationships/image" Target="../media/image27.emf"/><Relationship Id="rId10" Type="http://schemas.openxmlformats.org/officeDocument/2006/relationships/control" Target="../activeX/activeX4.xml"/><Relationship Id="rId31" Type="http://schemas.openxmlformats.org/officeDocument/2006/relationships/image" Target="../media/image14.emf"/><Relationship Id="rId44" Type="http://schemas.openxmlformats.org/officeDocument/2006/relationships/control" Target="../activeX/activeX21.xml"/><Relationship Id="rId52" Type="http://schemas.openxmlformats.org/officeDocument/2006/relationships/control" Target="../activeX/activeX25.xml"/><Relationship Id="rId60" Type="http://schemas.openxmlformats.org/officeDocument/2006/relationships/control" Target="../activeX/activeX29.xml"/><Relationship Id="rId65" Type="http://schemas.openxmlformats.org/officeDocument/2006/relationships/image" Target="../media/image31.emf"/><Relationship Id="rId73" Type="http://schemas.openxmlformats.org/officeDocument/2006/relationships/image" Target="../media/image35.emf"/><Relationship Id="rId78" Type="http://schemas.openxmlformats.org/officeDocument/2006/relationships/control" Target="../activeX/activeX38.xml"/><Relationship Id="rId81" Type="http://schemas.openxmlformats.org/officeDocument/2006/relationships/control" Target="../activeX/activeX4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2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2.xml"/><Relationship Id="rId1" Type="http://schemas.openxmlformats.org/officeDocument/2006/relationships/printerSettings" Target="../printerSettings/printerSettings13.bin"/><Relationship Id="rId5" Type="http://schemas.openxmlformats.org/officeDocument/2006/relationships/image" Target="../media/image39.emf"/><Relationship Id="rId4" Type="http://schemas.openxmlformats.org/officeDocument/2006/relationships/control" Target="../activeX/activeX45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Sheet4">
    <pageSetUpPr fitToPage="1"/>
  </sheetPr>
  <dimension ref="B1:V28"/>
  <sheetViews>
    <sheetView tabSelected="1" zoomScaleNormal="100" workbookViewId="0">
      <selection activeCell="N13" sqref="N13"/>
    </sheetView>
  </sheetViews>
  <sheetFormatPr defaultColWidth="9.109375" defaultRowHeight="13.2" x14ac:dyDescent="0.25"/>
  <cols>
    <col min="1" max="1" width="0.5546875" style="1" customWidth="1"/>
    <col min="2" max="2" width="0.6640625" style="1" customWidth="1"/>
    <col min="3" max="3" width="4.109375" style="1" customWidth="1"/>
    <col min="4" max="4" width="13.33203125" style="1" customWidth="1"/>
    <col min="5" max="5" width="24" style="1" customWidth="1"/>
    <col min="6" max="6" width="29.44140625" style="1" customWidth="1"/>
    <col min="7" max="7" width="6.88671875" style="1" customWidth="1"/>
    <col min="8" max="8" width="5.6640625" style="1" customWidth="1"/>
    <col min="9" max="9" width="7" style="1" customWidth="1"/>
    <col min="10" max="10" width="5.6640625" style="1" customWidth="1"/>
    <col min="11" max="11" width="9.5546875" style="1" customWidth="1"/>
    <col min="12" max="12" width="7.109375" style="1" customWidth="1"/>
    <col min="13" max="13" width="8.44140625" style="1" customWidth="1"/>
    <col min="14" max="14" width="7.88671875" style="1" customWidth="1"/>
    <col min="15" max="15" width="11.44140625" style="1" customWidth="1"/>
    <col min="16" max="16" width="6.5546875" style="1" customWidth="1"/>
    <col min="17" max="17" width="7" style="1" customWidth="1"/>
    <col min="18" max="18" width="6.5546875" style="1" customWidth="1"/>
    <col min="19" max="19" width="7" style="1" customWidth="1"/>
    <col min="20" max="20" width="4.109375" style="1" customWidth="1"/>
    <col min="21" max="21" width="0.6640625" style="1" customWidth="1"/>
    <col min="22" max="16384" width="9.109375" style="1"/>
  </cols>
  <sheetData>
    <row r="1" spans="2:22" ht="3.75" customHeight="1" thickBot="1" x14ac:dyDescent="0.3"/>
    <row r="2" spans="2:22" ht="21.75" customHeight="1" thickBot="1" x14ac:dyDescent="0.3">
      <c r="B2" s="193" t="s">
        <v>151</v>
      </c>
      <c r="C2" s="194"/>
      <c r="D2" s="194"/>
      <c r="E2" s="194"/>
      <c r="F2" s="194"/>
      <c r="G2" s="194"/>
      <c r="H2" s="194"/>
      <c r="I2" s="194"/>
      <c r="J2" s="194"/>
      <c r="K2" s="194"/>
      <c r="L2" s="194"/>
      <c r="M2" s="194"/>
      <c r="N2" s="194"/>
      <c r="O2" s="194"/>
      <c r="P2" s="194"/>
      <c r="Q2" s="194"/>
      <c r="R2" s="194"/>
      <c r="S2" s="194"/>
      <c r="T2" s="194"/>
      <c r="U2" s="195"/>
    </row>
    <row r="3" spans="2:22" ht="16.95" customHeight="1" thickBot="1" x14ac:dyDescent="0.35">
      <c r="B3" s="2"/>
      <c r="C3" s="202" t="s">
        <v>16</v>
      </c>
      <c r="D3" s="203"/>
      <c r="E3" s="203"/>
      <c r="F3" s="203"/>
      <c r="G3" s="203"/>
      <c r="H3" s="203"/>
      <c r="I3" s="203"/>
      <c r="J3" s="203"/>
      <c r="K3" s="203"/>
      <c r="L3" s="203"/>
      <c r="M3" s="203"/>
      <c r="N3" s="204"/>
      <c r="O3" s="202" t="s">
        <v>73</v>
      </c>
      <c r="P3" s="203"/>
      <c r="Q3" s="203"/>
      <c r="R3" s="203"/>
      <c r="S3" s="203"/>
      <c r="T3" s="204"/>
      <c r="U3" s="16"/>
    </row>
    <row r="4" spans="2:22" ht="12" customHeight="1" x14ac:dyDescent="0.25">
      <c r="B4" s="2"/>
      <c r="C4" s="136"/>
      <c r="D4" s="137"/>
      <c r="E4" s="137"/>
      <c r="F4" s="137"/>
      <c r="G4" s="137"/>
      <c r="H4" s="137"/>
      <c r="I4" s="137"/>
      <c r="J4" s="130"/>
      <c r="K4" s="133"/>
      <c r="L4" s="196" t="s">
        <v>91</v>
      </c>
      <c r="M4" s="196"/>
      <c r="N4" s="197"/>
      <c r="O4" s="187" t="s">
        <v>74</v>
      </c>
      <c r="P4" s="188"/>
      <c r="Q4" s="188"/>
      <c r="R4" s="188"/>
      <c r="S4" s="188"/>
      <c r="T4" s="189"/>
      <c r="U4" s="15"/>
    </row>
    <row r="5" spans="2:22" ht="12.75" customHeight="1" x14ac:dyDescent="0.25">
      <c r="B5" s="2"/>
      <c r="C5" s="42"/>
      <c r="D5" s="43"/>
      <c r="E5" s="43"/>
      <c r="F5" s="43"/>
      <c r="G5" s="43"/>
      <c r="H5" s="43"/>
      <c r="I5" s="43"/>
      <c r="J5" s="131"/>
      <c r="K5" s="134"/>
      <c r="L5" s="198"/>
      <c r="M5" s="198"/>
      <c r="N5" s="199"/>
      <c r="O5" s="117"/>
      <c r="P5" s="118"/>
      <c r="Q5" s="118"/>
      <c r="R5" s="118"/>
      <c r="S5" s="119"/>
      <c r="T5" s="120"/>
      <c r="U5" s="15"/>
    </row>
    <row r="6" spans="2:22" ht="12.75" customHeight="1" x14ac:dyDescent="0.25">
      <c r="B6" s="2"/>
      <c r="C6" s="44"/>
      <c r="D6" s="45"/>
      <c r="E6" s="45"/>
      <c r="F6" s="43"/>
      <c r="G6" s="43"/>
      <c r="H6" s="43"/>
      <c r="I6" s="43"/>
      <c r="J6" s="131"/>
      <c r="K6" s="134"/>
      <c r="L6" s="198"/>
      <c r="M6" s="198"/>
      <c r="N6" s="199"/>
      <c r="O6" s="117"/>
      <c r="P6" s="118"/>
      <c r="Q6" s="118"/>
      <c r="R6" s="118"/>
      <c r="S6" s="119"/>
      <c r="T6" s="120"/>
      <c r="U6" s="15"/>
    </row>
    <row r="7" spans="2:22" ht="12.75" customHeight="1" x14ac:dyDescent="0.3">
      <c r="B7" s="2"/>
      <c r="C7" s="44"/>
      <c r="D7" s="45"/>
      <c r="E7" s="45"/>
      <c r="F7" s="43"/>
      <c r="G7" s="43"/>
      <c r="H7" s="43"/>
      <c r="I7" s="43"/>
      <c r="J7" s="131"/>
      <c r="K7" s="134"/>
      <c r="L7" s="198"/>
      <c r="M7" s="198"/>
      <c r="N7" s="199"/>
      <c r="O7" s="117"/>
      <c r="P7" s="118"/>
      <c r="Q7" s="118"/>
      <c r="R7" s="118"/>
      <c r="S7" s="119"/>
      <c r="T7" s="120"/>
      <c r="U7" s="16"/>
    </row>
    <row r="8" spans="2:22" ht="12.75" customHeight="1" thickBot="1" x14ac:dyDescent="0.3">
      <c r="B8" s="2"/>
      <c r="C8" s="46"/>
      <c r="D8" s="47"/>
      <c r="E8" s="47"/>
      <c r="F8" s="48"/>
      <c r="G8" s="48"/>
      <c r="H8" s="48"/>
      <c r="I8" s="48"/>
      <c r="J8" s="132"/>
      <c r="K8" s="135"/>
      <c r="L8" s="200"/>
      <c r="M8" s="200"/>
      <c r="N8" s="201"/>
      <c r="O8" s="121"/>
      <c r="P8" s="122"/>
      <c r="Q8" s="122"/>
      <c r="R8" s="122"/>
      <c r="S8" s="123"/>
      <c r="T8" s="124"/>
      <c r="U8" s="15"/>
    </row>
    <row r="9" spans="2:22" ht="5.25" customHeight="1" thickBot="1" x14ac:dyDescent="0.3">
      <c r="B9" s="2"/>
      <c r="C9" s="5"/>
      <c r="D9" s="4"/>
      <c r="E9" s="4"/>
      <c r="F9" s="3"/>
      <c r="G9" s="4"/>
      <c r="H9" s="3"/>
      <c r="I9" s="3"/>
      <c r="J9" s="3"/>
      <c r="K9" s="3"/>
      <c r="L9" s="3"/>
      <c r="M9" s="3"/>
      <c r="N9" s="3"/>
      <c r="O9" s="3"/>
      <c r="P9" s="3"/>
      <c r="Q9" s="3"/>
      <c r="R9" s="3"/>
      <c r="S9" s="3"/>
      <c r="T9" s="88"/>
      <c r="U9" s="126"/>
    </row>
    <row r="10" spans="2:22" ht="16.5" customHeight="1" x14ac:dyDescent="0.25">
      <c r="B10" s="2"/>
      <c r="C10" s="205" t="s">
        <v>8</v>
      </c>
      <c r="D10" s="213" t="s">
        <v>12</v>
      </c>
      <c r="E10" s="223" t="s">
        <v>0</v>
      </c>
      <c r="F10" s="225" t="s">
        <v>7</v>
      </c>
      <c r="G10" s="213" t="s">
        <v>9</v>
      </c>
      <c r="H10" s="190" t="s">
        <v>113</v>
      </c>
      <c r="I10" s="251"/>
      <c r="J10" s="251"/>
      <c r="K10" s="251"/>
      <c r="L10" s="252"/>
      <c r="M10" s="253" t="s">
        <v>100</v>
      </c>
      <c r="N10" s="254"/>
      <c r="O10" s="255"/>
      <c r="P10" s="190" t="s">
        <v>92</v>
      </c>
      <c r="Q10" s="191"/>
      <c r="R10" s="191"/>
      <c r="S10" s="191"/>
      <c r="T10" s="192"/>
      <c r="U10" s="15"/>
      <c r="V10" s="18"/>
    </row>
    <row r="11" spans="2:22" ht="30" customHeight="1" x14ac:dyDescent="0.3">
      <c r="B11" s="2"/>
      <c r="C11" s="206"/>
      <c r="D11" s="214"/>
      <c r="E11" s="224"/>
      <c r="F11" s="226"/>
      <c r="G11" s="214"/>
      <c r="H11" s="19" t="s">
        <v>10</v>
      </c>
      <c r="I11" s="20" t="s">
        <v>11</v>
      </c>
      <c r="J11" s="20" t="s">
        <v>17</v>
      </c>
      <c r="K11" s="20" t="s">
        <v>18</v>
      </c>
      <c r="L11" s="83" t="s">
        <v>41</v>
      </c>
      <c r="M11" s="147" t="s">
        <v>103</v>
      </c>
      <c r="N11" s="148" t="s">
        <v>101</v>
      </c>
      <c r="O11" s="149" t="s">
        <v>102</v>
      </c>
      <c r="P11" s="82" t="s">
        <v>81</v>
      </c>
      <c r="Q11" s="21" t="s">
        <v>83</v>
      </c>
      <c r="R11" s="21" t="s">
        <v>82</v>
      </c>
      <c r="S11" s="20" t="s">
        <v>84</v>
      </c>
      <c r="T11" s="125" t="s">
        <v>94</v>
      </c>
      <c r="U11" s="16"/>
    </row>
    <row r="12" spans="2:22" ht="21.75" customHeight="1" x14ac:dyDescent="0.25">
      <c r="B12" s="2"/>
      <c r="C12" s="13">
        <v>1</v>
      </c>
      <c r="D12" s="10"/>
      <c r="E12" s="104" t="s">
        <v>152</v>
      </c>
      <c r="F12" s="40" t="s">
        <v>154</v>
      </c>
      <c r="G12" s="17" t="s">
        <v>1</v>
      </c>
      <c r="H12" s="178">
        <v>0.2</v>
      </c>
      <c r="I12" s="181">
        <v>11.231157894736844</v>
      </c>
      <c r="J12" s="184">
        <v>66.117294736842112</v>
      </c>
      <c r="K12" s="34">
        <v>717395.78947368416</v>
      </c>
      <c r="L12" s="84">
        <v>0</v>
      </c>
      <c r="M12" s="141">
        <v>100</v>
      </c>
      <c r="N12" s="142">
        <v>384</v>
      </c>
      <c r="O12" s="150">
        <v>10</v>
      </c>
      <c r="P12" s="107">
        <v>0</v>
      </c>
      <c r="Q12" s="37">
        <v>5.76</v>
      </c>
      <c r="R12" s="108">
        <v>20</v>
      </c>
      <c r="S12" s="111">
        <v>22.4</v>
      </c>
      <c r="T12" s="138"/>
      <c r="U12" s="15"/>
    </row>
    <row r="13" spans="2:22" ht="21.75" customHeight="1" x14ac:dyDescent="0.25">
      <c r="B13" s="2"/>
      <c r="C13" s="9">
        <v>2</v>
      </c>
      <c r="D13" s="11"/>
      <c r="E13" s="105" t="s">
        <v>155</v>
      </c>
      <c r="F13" s="40" t="s">
        <v>157</v>
      </c>
      <c r="G13" s="6" t="s">
        <v>2</v>
      </c>
      <c r="H13" s="179">
        <v>0.2</v>
      </c>
      <c r="I13" s="182">
        <v>11.060173684210525</v>
      </c>
      <c r="J13" s="185">
        <v>70.119294736842107</v>
      </c>
      <c r="K13" s="35">
        <v>709690</v>
      </c>
      <c r="L13" s="85">
        <v>0</v>
      </c>
      <c r="M13" s="141">
        <f>M12</f>
        <v>100</v>
      </c>
      <c r="N13" s="141">
        <f t="shared" ref="N13:N15" si="0">N12</f>
        <v>384</v>
      </c>
      <c r="O13" s="150">
        <f>O12</f>
        <v>10</v>
      </c>
      <c r="P13" s="107">
        <v>0</v>
      </c>
      <c r="Q13" s="37">
        <f>Q12</f>
        <v>5.76</v>
      </c>
      <c r="R13" s="111">
        <f t="shared" ref="R13:R15" si="1">R12</f>
        <v>20</v>
      </c>
      <c r="S13" s="111">
        <f>S12</f>
        <v>22.4</v>
      </c>
      <c r="T13" s="139"/>
      <c r="U13" s="15"/>
    </row>
    <row r="14" spans="2:22" ht="21.75" customHeight="1" x14ac:dyDescent="0.25">
      <c r="B14" s="2"/>
      <c r="C14" s="9">
        <v>3</v>
      </c>
      <c r="D14" s="11"/>
      <c r="E14" s="105"/>
      <c r="F14" s="40"/>
      <c r="G14" s="6" t="s">
        <v>3</v>
      </c>
      <c r="H14" s="179"/>
      <c r="I14" s="182"/>
      <c r="J14" s="185"/>
      <c r="K14" s="35"/>
      <c r="L14" s="85"/>
      <c r="M14" s="141">
        <f t="shared" ref="M14:M15" si="2">M13</f>
        <v>100</v>
      </c>
      <c r="N14" s="141">
        <f t="shared" si="0"/>
        <v>384</v>
      </c>
      <c r="O14" s="150">
        <f t="shared" ref="O14:O15" si="3">O13</f>
        <v>10</v>
      </c>
      <c r="P14" s="107">
        <v>0</v>
      </c>
      <c r="Q14" s="37">
        <f t="shared" ref="Q14:Q15" si="4">Q13</f>
        <v>5.76</v>
      </c>
      <c r="R14" s="111">
        <f t="shared" si="1"/>
        <v>20</v>
      </c>
      <c r="S14" s="111">
        <f t="shared" ref="S14:S15" si="5">S13</f>
        <v>22.4</v>
      </c>
      <c r="T14" s="139"/>
      <c r="U14" s="15"/>
    </row>
    <row r="15" spans="2:22" ht="21.75" customHeight="1" x14ac:dyDescent="0.25">
      <c r="B15" s="2"/>
      <c r="C15" s="9">
        <v>4</v>
      </c>
      <c r="D15" s="11"/>
      <c r="E15" s="105"/>
      <c r="F15" s="40"/>
      <c r="G15" s="6" t="s">
        <v>4</v>
      </c>
      <c r="H15" s="179"/>
      <c r="I15" s="182"/>
      <c r="J15" s="185"/>
      <c r="K15" s="35"/>
      <c r="L15" s="85"/>
      <c r="M15" s="141">
        <f t="shared" si="2"/>
        <v>100</v>
      </c>
      <c r="N15" s="141">
        <f t="shared" si="0"/>
        <v>384</v>
      </c>
      <c r="O15" s="150">
        <f t="shared" si="3"/>
        <v>10</v>
      </c>
      <c r="P15" s="107">
        <v>0</v>
      </c>
      <c r="Q15" s="37">
        <f t="shared" si="4"/>
        <v>5.76</v>
      </c>
      <c r="R15" s="111">
        <f t="shared" si="1"/>
        <v>20</v>
      </c>
      <c r="S15" s="111">
        <f t="shared" si="5"/>
        <v>22.4</v>
      </c>
      <c r="T15" s="139"/>
      <c r="U15" s="15"/>
    </row>
    <row r="16" spans="2:22" ht="21.75" customHeight="1" x14ac:dyDescent="0.25">
      <c r="B16" s="2"/>
      <c r="C16" s="9">
        <v>5</v>
      </c>
      <c r="D16" s="11"/>
      <c r="E16" s="105"/>
      <c r="F16" s="40"/>
      <c r="G16" s="6" t="s">
        <v>5</v>
      </c>
      <c r="H16" s="179"/>
      <c r="I16" s="182"/>
      <c r="J16" s="185"/>
      <c r="K16" s="35"/>
      <c r="L16" s="85"/>
      <c r="M16" s="141"/>
      <c r="N16" s="142"/>
      <c r="O16" s="150"/>
      <c r="P16" s="107"/>
      <c r="Q16" s="37"/>
      <c r="R16" s="108"/>
      <c r="S16" s="111"/>
      <c r="T16" s="139"/>
      <c r="U16" s="15"/>
    </row>
    <row r="17" spans="2:21" ht="21.75" customHeight="1" x14ac:dyDescent="0.25">
      <c r="B17" s="2"/>
      <c r="C17" s="9">
        <v>6</v>
      </c>
      <c r="D17" s="11"/>
      <c r="E17" s="105"/>
      <c r="F17" s="40"/>
      <c r="G17" s="6" t="s">
        <v>6</v>
      </c>
      <c r="H17" s="179"/>
      <c r="I17" s="182"/>
      <c r="J17" s="185"/>
      <c r="K17" s="35"/>
      <c r="L17" s="85"/>
      <c r="M17" s="141"/>
      <c r="N17" s="142"/>
      <c r="O17" s="150"/>
      <c r="P17" s="107"/>
      <c r="Q17" s="37"/>
      <c r="R17" s="108"/>
      <c r="S17" s="111"/>
      <c r="T17" s="139"/>
      <c r="U17" s="15"/>
    </row>
    <row r="18" spans="2:21" ht="21.75" customHeight="1" x14ac:dyDescent="0.25">
      <c r="B18" s="2"/>
      <c r="C18" s="9">
        <v>7</v>
      </c>
      <c r="D18" s="11"/>
      <c r="E18" s="105"/>
      <c r="F18" s="40"/>
      <c r="G18" s="6" t="s">
        <v>19</v>
      </c>
      <c r="H18" s="179"/>
      <c r="I18" s="182"/>
      <c r="J18" s="185"/>
      <c r="K18" s="35"/>
      <c r="L18" s="85"/>
      <c r="M18" s="143"/>
      <c r="N18" s="144"/>
      <c r="O18" s="151"/>
      <c r="P18" s="127"/>
      <c r="Q18" s="38"/>
      <c r="R18" s="109"/>
      <c r="S18" s="112"/>
      <c r="T18" s="139"/>
      <c r="U18" s="15"/>
    </row>
    <row r="19" spans="2:21" ht="21.75" customHeight="1" thickBot="1" x14ac:dyDescent="0.3">
      <c r="B19" s="2"/>
      <c r="C19" s="14">
        <v>8</v>
      </c>
      <c r="D19" s="12"/>
      <c r="E19" s="106"/>
      <c r="F19" s="41"/>
      <c r="G19" s="7" t="s">
        <v>20</v>
      </c>
      <c r="H19" s="180"/>
      <c r="I19" s="183"/>
      <c r="J19" s="186"/>
      <c r="K19" s="36"/>
      <c r="L19" s="86"/>
      <c r="M19" s="145"/>
      <c r="N19" s="146"/>
      <c r="O19" s="152"/>
      <c r="P19" s="128"/>
      <c r="Q19" s="39"/>
      <c r="R19" s="110"/>
      <c r="S19" s="113"/>
      <c r="T19" s="140"/>
      <c r="U19" s="114"/>
    </row>
    <row r="20" spans="2:21" ht="5.25" customHeight="1" thickBot="1" x14ac:dyDescent="0.3">
      <c r="B20" s="2"/>
      <c r="C20" s="8"/>
      <c r="D20" s="8"/>
      <c r="E20" s="8"/>
      <c r="F20" s="8"/>
      <c r="G20" s="8"/>
      <c r="H20" s="8"/>
      <c r="I20" s="8"/>
      <c r="J20" s="8"/>
      <c r="K20" s="8"/>
      <c r="L20" s="8"/>
      <c r="M20" s="8"/>
      <c r="N20" s="8"/>
      <c r="O20" s="8"/>
      <c r="P20" s="8"/>
      <c r="Q20" s="8"/>
      <c r="R20" s="8"/>
      <c r="S20" s="8"/>
      <c r="T20" s="8"/>
      <c r="U20" s="51"/>
    </row>
    <row r="21" spans="2:21" ht="17.25" customHeight="1" x14ac:dyDescent="0.25">
      <c r="B21" s="114"/>
      <c r="C21" s="233" t="s">
        <v>104</v>
      </c>
      <c r="D21" s="234"/>
      <c r="E21" s="234"/>
      <c r="F21" s="234"/>
      <c r="G21" s="234"/>
      <c r="H21" s="234"/>
      <c r="I21" s="234"/>
      <c r="J21" s="234"/>
      <c r="K21" s="234"/>
      <c r="L21" s="235"/>
      <c r="M21" s="229" t="s">
        <v>99</v>
      </c>
      <c r="N21" s="230"/>
      <c r="O21" s="227">
        <f>1/24</f>
        <v>4.1666666666666664E-2</v>
      </c>
      <c r="P21" s="207" t="s">
        <v>105</v>
      </c>
      <c r="Q21" s="208"/>
      <c r="R21" s="208"/>
      <c r="S21" s="208"/>
      <c r="T21" s="208"/>
      <c r="U21" s="115"/>
    </row>
    <row r="22" spans="2:21" ht="17.25" customHeight="1" x14ac:dyDescent="0.25">
      <c r="B22" s="116"/>
      <c r="C22" s="236"/>
      <c r="D22" s="237"/>
      <c r="E22" s="237"/>
      <c r="F22" s="237"/>
      <c r="G22" s="237"/>
      <c r="H22" s="237"/>
      <c r="I22" s="237"/>
      <c r="J22" s="237"/>
      <c r="K22" s="237"/>
      <c r="L22" s="238"/>
      <c r="M22" s="231"/>
      <c r="N22" s="232"/>
      <c r="O22" s="228"/>
      <c r="P22" s="209"/>
      <c r="Q22" s="210"/>
      <c r="R22" s="210"/>
      <c r="S22" s="210"/>
      <c r="T22" s="210"/>
      <c r="U22" s="115"/>
    </row>
    <row r="23" spans="2:21" ht="17.25" customHeight="1" x14ac:dyDescent="0.25">
      <c r="B23" s="116"/>
      <c r="C23" s="236"/>
      <c r="D23" s="237"/>
      <c r="E23" s="237"/>
      <c r="F23" s="237"/>
      <c r="G23" s="237"/>
      <c r="H23" s="237"/>
      <c r="I23" s="237"/>
      <c r="J23" s="237"/>
      <c r="K23" s="237"/>
      <c r="L23" s="238"/>
      <c r="M23" s="242"/>
      <c r="N23" s="243"/>
      <c r="O23" s="244"/>
      <c r="P23" s="209"/>
      <c r="Q23" s="210"/>
      <c r="R23" s="210"/>
      <c r="S23" s="210"/>
      <c r="T23" s="210"/>
      <c r="U23" s="115"/>
    </row>
    <row r="24" spans="2:21" ht="17.25" customHeight="1" x14ac:dyDescent="0.25">
      <c r="B24" s="116"/>
      <c r="C24" s="236"/>
      <c r="D24" s="237"/>
      <c r="E24" s="237"/>
      <c r="F24" s="237"/>
      <c r="G24" s="237"/>
      <c r="H24" s="237"/>
      <c r="I24" s="237"/>
      <c r="J24" s="237"/>
      <c r="K24" s="237"/>
      <c r="L24" s="238"/>
      <c r="M24" s="245"/>
      <c r="N24" s="246"/>
      <c r="O24" s="247"/>
      <c r="P24" s="209"/>
      <c r="Q24" s="210"/>
      <c r="R24" s="210"/>
      <c r="S24" s="210"/>
      <c r="T24" s="210"/>
      <c r="U24" s="115"/>
    </row>
    <row r="25" spans="2:21" ht="17.25" customHeight="1" thickBot="1" x14ac:dyDescent="0.3">
      <c r="B25" s="116"/>
      <c r="C25" s="239"/>
      <c r="D25" s="240"/>
      <c r="E25" s="240"/>
      <c r="F25" s="240"/>
      <c r="G25" s="240"/>
      <c r="H25" s="240"/>
      <c r="I25" s="240"/>
      <c r="J25" s="240"/>
      <c r="K25" s="240"/>
      <c r="L25" s="241"/>
      <c r="M25" s="248"/>
      <c r="N25" s="249"/>
      <c r="O25" s="250"/>
      <c r="P25" s="211"/>
      <c r="Q25" s="212"/>
      <c r="R25" s="212"/>
      <c r="S25" s="212"/>
      <c r="T25" s="212"/>
      <c r="U25" s="115"/>
    </row>
    <row r="26" spans="2:21" ht="13.2" customHeight="1" x14ac:dyDescent="0.25">
      <c r="B26" s="215" t="s">
        <v>93</v>
      </c>
      <c r="C26" s="216"/>
      <c r="D26" s="216"/>
      <c r="E26" s="216"/>
      <c r="F26" s="216"/>
      <c r="G26" s="216"/>
      <c r="H26" s="216"/>
      <c r="I26" s="216"/>
      <c r="J26" s="216"/>
      <c r="K26" s="216"/>
      <c r="L26" s="216"/>
      <c r="M26" s="216"/>
      <c r="N26" s="216"/>
      <c r="O26" s="216"/>
      <c r="P26" s="216"/>
      <c r="Q26" s="216"/>
      <c r="R26" s="216"/>
      <c r="S26" s="216"/>
      <c r="T26" s="216"/>
      <c r="U26" s="217"/>
    </row>
    <row r="27" spans="2:21" x14ac:dyDescent="0.25">
      <c r="B27" s="218"/>
      <c r="C27" s="219"/>
      <c r="D27" s="219"/>
      <c r="E27" s="219"/>
      <c r="F27" s="219"/>
      <c r="G27" s="219"/>
      <c r="H27" s="219"/>
      <c r="I27" s="219"/>
      <c r="J27" s="219"/>
      <c r="K27" s="219"/>
      <c r="L27" s="219"/>
      <c r="M27" s="219"/>
      <c r="N27" s="219"/>
      <c r="O27" s="219"/>
      <c r="P27" s="219"/>
      <c r="Q27" s="219"/>
      <c r="R27" s="219"/>
      <c r="S27" s="219"/>
      <c r="T27" s="219"/>
      <c r="U27" s="217"/>
    </row>
    <row r="28" spans="2:21" ht="13.8" thickBot="1" x14ac:dyDescent="0.3">
      <c r="B28" s="220"/>
      <c r="C28" s="221"/>
      <c r="D28" s="221"/>
      <c r="E28" s="221"/>
      <c r="F28" s="221"/>
      <c r="G28" s="221"/>
      <c r="H28" s="221"/>
      <c r="I28" s="221"/>
      <c r="J28" s="221"/>
      <c r="K28" s="221"/>
      <c r="L28" s="221"/>
      <c r="M28" s="221"/>
      <c r="N28" s="221"/>
      <c r="O28" s="221"/>
      <c r="P28" s="221"/>
      <c r="Q28" s="221"/>
      <c r="R28" s="221"/>
      <c r="S28" s="221"/>
      <c r="T28" s="221"/>
      <c r="U28" s="222"/>
    </row>
  </sheetData>
  <sheetProtection sheet="1" objects="1" scenarios="1"/>
  <mergeCells count="19">
    <mergeCell ref="P21:T25"/>
    <mergeCell ref="D10:D11"/>
    <mergeCell ref="B26:U28"/>
    <mergeCell ref="E10:E11"/>
    <mergeCell ref="G10:G11"/>
    <mergeCell ref="F10:F11"/>
    <mergeCell ref="O21:O22"/>
    <mergeCell ref="M21:N22"/>
    <mergeCell ref="C21:L25"/>
    <mergeCell ref="M23:O25"/>
    <mergeCell ref="H10:L10"/>
    <mergeCell ref="M10:O10"/>
    <mergeCell ref="O4:T4"/>
    <mergeCell ref="P10:T10"/>
    <mergeCell ref="B2:U2"/>
    <mergeCell ref="L4:N8"/>
    <mergeCell ref="C3:N3"/>
    <mergeCell ref="O3:T3"/>
    <mergeCell ref="C10:C11"/>
  </mergeCells>
  <phoneticPr fontId="0" type="noConversion"/>
  <printOptions horizontalCentered="1" verticalCentered="1"/>
  <pageMargins left="0.75" right="0.75" top="1" bottom="1" header="0.5" footer="0.5"/>
  <pageSetup scale="74" orientation="landscape" r:id="rId1"/>
  <headerFooter alignWithMargins="0"/>
  <drawing r:id="rId2"/>
  <legacyDrawing r:id="rId3"/>
  <controls>
    <mc:AlternateContent xmlns:mc="http://schemas.openxmlformats.org/markup-compatibility/2006">
      <mc:Choice Requires="x14">
        <control shapeId="3073" r:id="rId4" name="cmdGenCharts">
          <controlPr defaultSize="0" autoLine="0" r:id="rId5">
            <anchor>
              <from>
                <xdr:col>14</xdr:col>
                <xdr:colOff>76200</xdr:colOff>
                <xdr:row>4</xdr:row>
                <xdr:rowOff>99060</xdr:rowOff>
              </from>
              <to>
                <xdr:col>16</xdr:col>
                <xdr:colOff>167640</xdr:colOff>
                <xdr:row>7</xdr:row>
                <xdr:rowOff>106680</xdr:rowOff>
              </to>
            </anchor>
          </controlPr>
        </control>
      </mc:Choice>
      <mc:Fallback>
        <control shapeId="3073" r:id="rId4" name="cmdGenCharts"/>
      </mc:Fallback>
    </mc:AlternateContent>
    <mc:AlternateContent xmlns:mc="http://schemas.openxmlformats.org/markup-compatibility/2006">
      <mc:Choice Requires="x14">
        <control shapeId="3074" r:id="rId6" name="cbCLvsAlpha">
          <controlPr defaultSize="0" autoLine="0" r:id="rId7">
            <anchor>
              <from>
                <xdr:col>2</xdr:col>
                <xdr:colOff>190500</xdr:colOff>
                <xdr:row>3</xdr:row>
                <xdr:rowOff>45720</xdr:rowOff>
              </from>
              <to>
                <xdr:col>3</xdr:col>
                <xdr:colOff>899160</xdr:colOff>
                <xdr:row>4</xdr:row>
                <xdr:rowOff>91440</xdr:rowOff>
              </to>
            </anchor>
          </controlPr>
        </control>
      </mc:Choice>
      <mc:Fallback>
        <control shapeId="3074" r:id="rId6" name="cbCLvsAlpha"/>
      </mc:Fallback>
    </mc:AlternateContent>
    <mc:AlternateContent xmlns:mc="http://schemas.openxmlformats.org/markup-compatibility/2006">
      <mc:Choice Requires="x14">
        <control shapeId="3139" r:id="rId8" name="cmdLoadFile1">
          <controlPr defaultSize="0" autoLine="0" r:id="rId9">
            <anchor moveWithCells="1">
              <from>
                <xdr:col>3</xdr:col>
                <xdr:colOff>22860</xdr:colOff>
                <xdr:row>11</xdr:row>
                <xdr:rowOff>7620</xdr:rowOff>
              </from>
              <to>
                <xdr:col>3</xdr:col>
                <xdr:colOff>449580</xdr:colOff>
                <xdr:row>12</xdr:row>
                <xdr:rowOff>0</xdr:rowOff>
              </to>
            </anchor>
          </controlPr>
        </control>
      </mc:Choice>
      <mc:Fallback>
        <control shapeId="3139" r:id="rId8" name="cmdLoadFile1"/>
      </mc:Fallback>
    </mc:AlternateContent>
    <mc:AlternateContent xmlns:mc="http://schemas.openxmlformats.org/markup-compatibility/2006">
      <mc:Choice Requires="x14">
        <control shapeId="3140" r:id="rId10" name="cmdLoadFile2">
          <controlPr defaultSize="0" autoLine="0" r:id="rId11">
            <anchor moveWithCells="1">
              <from>
                <xdr:col>3</xdr:col>
                <xdr:colOff>22860</xdr:colOff>
                <xdr:row>12</xdr:row>
                <xdr:rowOff>7620</xdr:rowOff>
              </from>
              <to>
                <xdr:col>3</xdr:col>
                <xdr:colOff>449580</xdr:colOff>
                <xdr:row>13</xdr:row>
                <xdr:rowOff>0</xdr:rowOff>
              </to>
            </anchor>
          </controlPr>
        </control>
      </mc:Choice>
      <mc:Fallback>
        <control shapeId="3140" r:id="rId10" name="cmdLoadFile2"/>
      </mc:Fallback>
    </mc:AlternateContent>
    <mc:AlternateContent xmlns:mc="http://schemas.openxmlformats.org/markup-compatibility/2006">
      <mc:Choice Requires="x14">
        <control shapeId="3141" r:id="rId12" name="cmdLoadFile3">
          <controlPr defaultSize="0" autoLine="0" r:id="rId13">
            <anchor moveWithCells="1">
              <from>
                <xdr:col>3</xdr:col>
                <xdr:colOff>22860</xdr:colOff>
                <xdr:row>13</xdr:row>
                <xdr:rowOff>7620</xdr:rowOff>
              </from>
              <to>
                <xdr:col>3</xdr:col>
                <xdr:colOff>449580</xdr:colOff>
                <xdr:row>14</xdr:row>
                <xdr:rowOff>0</xdr:rowOff>
              </to>
            </anchor>
          </controlPr>
        </control>
      </mc:Choice>
      <mc:Fallback>
        <control shapeId="3141" r:id="rId12" name="cmdLoadFile3"/>
      </mc:Fallback>
    </mc:AlternateContent>
    <mc:AlternateContent xmlns:mc="http://schemas.openxmlformats.org/markup-compatibility/2006">
      <mc:Choice Requires="x14">
        <control shapeId="3142" r:id="rId14" name="cmdLoadFile4">
          <controlPr defaultSize="0" autoLine="0" r:id="rId15">
            <anchor moveWithCells="1">
              <from>
                <xdr:col>3</xdr:col>
                <xdr:colOff>22860</xdr:colOff>
                <xdr:row>14</xdr:row>
                <xdr:rowOff>7620</xdr:rowOff>
              </from>
              <to>
                <xdr:col>3</xdr:col>
                <xdr:colOff>457200</xdr:colOff>
                <xdr:row>15</xdr:row>
                <xdr:rowOff>0</xdr:rowOff>
              </to>
            </anchor>
          </controlPr>
        </control>
      </mc:Choice>
      <mc:Fallback>
        <control shapeId="3142" r:id="rId14" name="cmdLoadFile4"/>
      </mc:Fallback>
    </mc:AlternateContent>
    <mc:AlternateContent xmlns:mc="http://schemas.openxmlformats.org/markup-compatibility/2006">
      <mc:Choice Requires="x14">
        <control shapeId="3143" r:id="rId16" name="cmdLoadFile5">
          <controlPr defaultSize="0" autoLine="0" r:id="rId17">
            <anchor moveWithCells="1">
              <from>
                <xdr:col>3</xdr:col>
                <xdr:colOff>22860</xdr:colOff>
                <xdr:row>15</xdr:row>
                <xdr:rowOff>7620</xdr:rowOff>
              </from>
              <to>
                <xdr:col>3</xdr:col>
                <xdr:colOff>457200</xdr:colOff>
                <xdr:row>16</xdr:row>
                <xdr:rowOff>0</xdr:rowOff>
              </to>
            </anchor>
          </controlPr>
        </control>
      </mc:Choice>
      <mc:Fallback>
        <control shapeId="3143" r:id="rId16" name="cmdLoadFile5"/>
      </mc:Fallback>
    </mc:AlternateContent>
    <mc:AlternateContent xmlns:mc="http://schemas.openxmlformats.org/markup-compatibility/2006">
      <mc:Choice Requires="x14">
        <control shapeId="3144" r:id="rId18" name="cmdLoadFile6">
          <controlPr defaultSize="0" autoLine="0" r:id="rId19">
            <anchor moveWithCells="1">
              <from>
                <xdr:col>3</xdr:col>
                <xdr:colOff>22860</xdr:colOff>
                <xdr:row>16</xdr:row>
                <xdr:rowOff>7620</xdr:rowOff>
              </from>
              <to>
                <xdr:col>3</xdr:col>
                <xdr:colOff>457200</xdr:colOff>
                <xdr:row>17</xdr:row>
                <xdr:rowOff>0</xdr:rowOff>
              </to>
            </anchor>
          </controlPr>
        </control>
      </mc:Choice>
      <mc:Fallback>
        <control shapeId="3144" r:id="rId18" name="cmdLoadFile6"/>
      </mc:Fallback>
    </mc:AlternateContent>
    <mc:AlternateContent xmlns:mc="http://schemas.openxmlformats.org/markup-compatibility/2006">
      <mc:Choice Requires="x14">
        <control shapeId="3145" r:id="rId20" name="cmdLoadFile7">
          <controlPr defaultSize="0" autoLine="0" r:id="rId21">
            <anchor moveWithCells="1">
              <from>
                <xdr:col>3</xdr:col>
                <xdr:colOff>22860</xdr:colOff>
                <xdr:row>17</xdr:row>
                <xdr:rowOff>7620</xdr:rowOff>
              </from>
              <to>
                <xdr:col>3</xdr:col>
                <xdr:colOff>457200</xdr:colOff>
                <xdr:row>18</xdr:row>
                <xdr:rowOff>0</xdr:rowOff>
              </to>
            </anchor>
          </controlPr>
        </control>
      </mc:Choice>
      <mc:Fallback>
        <control shapeId="3145" r:id="rId20" name="cmdLoadFile7"/>
      </mc:Fallback>
    </mc:AlternateContent>
    <mc:AlternateContent xmlns:mc="http://schemas.openxmlformats.org/markup-compatibility/2006">
      <mc:Choice Requires="x14">
        <control shapeId="3146" r:id="rId22" name="cmdLoadFile8">
          <controlPr defaultSize="0" autoLine="0" r:id="rId23">
            <anchor moveWithCells="1">
              <from>
                <xdr:col>3</xdr:col>
                <xdr:colOff>22860</xdr:colOff>
                <xdr:row>18</xdr:row>
                <xdr:rowOff>7620</xdr:rowOff>
              </from>
              <to>
                <xdr:col>3</xdr:col>
                <xdr:colOff>457200</xdr:colOff>
                <xdr:row>19</xdr:row>
                <xdr:rowOff>0</xdr:rowOff>
              </to>
            </anchor>
          </controlPr>
        </control>
      </mc:Choice>
      <mc:Fallback>
        <control shapeId="3146" r:id="rId22" name="cmdLoadFile8"/>
      </mc:Fallback>
    </mc:AlternateContent>
    <mc:AlternateContent xmlns:mc="http://schemas.openxmlformats.org/markup-compatibility/2006">
      <mc:Choice Requires="x14">
        <control shapeId="3147" r:id="rId24" name="cbCDvsAlpha">
          <controlPr defaultSize="0" autoLine="0" r:id="rId25">
            <anchor>
              <from>
                <xdr:col>2</xdr:col>
                <xdr:colOff>190500</xdr:colOff>
                <xdr:row>4</xdr:row>
                <xdr:rowOff>137160</xdr:rowOff>
              </from>
              <to>
                <xdr:col>3</xdr:col>
                <xdr:colOff>899160</xdr:colOff>
                <xdr:row>6</xdr:row>
                <xdr:rowOff>15240</xdr:rowOff>
              </to>
            </anchor>
          </controlPr>
        </control>
      </mc:Choice>
      <mc:Fallback>
        <control shapeId="3147" r:id="rId24" name="cbCDvsAlpha"/>
      </mc:Fallback>
    </mc:AlternateContent>
    <mc:AlternateContent xmlns:mc="http://schemas.openxmlformats.org/markup-compatibility/2006">
      <mc:Choice Requires="x14">
        <control shapeId="3148" r:id="rId26" name="cbCDvsCL">
          <controlPr defaultSize="0" autoLine="0" r:id="rId27">
            <anchor>
              <from>
                <xdr:col>2</xdr:col>
                <xdr:colOff>190500</xdr:colOff>
                <xdr:row>6</xdr:row>
                <xdr:rowOff>60960</xdr:rowOff>
              </from>
              <to>
                <xdr:col>3</xdr:col>
                <xdr:colOff>899160</xdr:colOff>
                <xdr:row>7</xdr:row>
                <xdr:rowOff>99060</xdr:rowOff>
              </to>
            </anchor>
          </controlPr>
        </control>
      </mc:Choice>
      <mc:Fallback>
        <control shapeId="3148" r:id="rId26" name="cbCDvsCL"/>
      </mc:Fallback>
    </mc:AlternateContent>
    <mc:AlternateContent xmlns:mc="http://schemas.openxmlformats.org/markup-compatibility/2006">
      <mc:Choice Requires="x14">
        <control shapeId="3149" r:id="rId28" name="cbCMAvsAlpha">
          <controlPr defaultSize="0" autoLine="0" r:id="rId29">
            <anchor>
              <from>
                <xdr:col>4</xdr:col>
                <xdr:colOff>114300</xdr:colOff>
                <xdr:row>6</xdr:row>
                <xdr:rowOff>60960</xdr:rowOff>
              </from>
              <to>
                <xdr:col>4</xdr:col>
                <xdr:colOff>1104900</xdr:colOff>
                <xdr:row>7</xdr:row>
                <xdr:rowOff>99060</xdr:rowOff>
              </to>
            </anchor>
          </controlPr>
        </control>
      </mc:Choice>
      <mc:Fallback>
        <control shapeId="3149" r:id="rId28" name="cbCMAvsAlpha"/>
      </mc:Fallback>
    </mc:AlternateContent>
    <mc:AlternateContent xmlns:mc="http://schemas.openxmlformats.org/markup-compatibility/2006">
      <mc:Choice Requires="x14">
        <control shapeId="3150" r:id="rId30" name="cbCNBvsAlpha">
          <controlPr defaultSize="0" autoLine="0" r:id="rId31">
            <anchor>
              <from>
                <xdr:col>6</xdr:col>
                <xdr:colOff>198120</xdr:colOff>
                <xdr:row>4</xdr:row>
                <xdr:rowOff>137160</xdr:rowOff>
              </from>
              <to>
                <xdr:col>8</xdr:col>
                <xdr:colOff>350520</xdr:colOff>
                <xdr:row>6</xdr:row>
                <xdr:rowOff>15240</xdr:rowOff>
              </to>
            </anchor>
          </controlPr>
        </control>
      </mc:Choice>
      <mc:Fallback>
        <control shapeId="3150" r:id="rId30" name="cbCNBvsAlpha"/>
      </mc:Fallback>
    </mc:AlternateContent>
    <mc:AlternateContent xmlns:mc="http://schemas.openxmlformats.org/markup-compatibility/2006">
      <mc:Choice Requires="x14">
        <control shapeId="3151" r:id="rId32" name="cbCLBvsAlpha">
          <controlPr defaultSize="0" autoLine="0" r:id="rId33">
            <anchor>
              <from>
                <xdr:col>6</xdr:col>
                <xdr:colOff>198120</xdr:colOff>
                <xdr:row>6</xdr:row>
                <xdr:rowOff>60960</xdr:rowOff>
              </from>
              <to>
                <xdr:col>8</xdr:col>
                <xdr:colOff>350520</xdr:colOff>
                <xdr:row>7</xdr:row>
                <xdr:rowOff>99060</xdr:rowOff>
              </to>
            </anchor>
          </controlPr>
        </control>
      </mc:Choice>
      <mc:Fallback>
        <control shapeId="3151" r:id="rId32" name="cbCLBvsAlpha"/>
      </mc:Fallback>
    </mc:AlternateContent>
    <mc:AlternateContent xmlns:mc="http://schemas.openxmlformats.org/markup-compatibility/2006">
      <mc:Choice Requires="x14">
        <control shapeId="3152" r:id="rId34" name="cbCMvsCL">
          <controlPr defaultSize="0" autoLine="0" r:id="rId35">
            <anchor>
              <from>
                <xdr:col>4</xdr:col>
                <xdr:colOff>114300</xdr:colOff>
                <xdr:row>3</xdr:row>
                <xdr:rowOff>45720</xdr:rowOff>
              </from>
              <to>
                <xdr:col>4</xdr:col>
                <xdr:colOff>1104900</xdr:colOff>
                <xdr:row>4</xdr:row>
                <xdr:rowOff>91440</xdr:rowOff>
              </to>
            </anchor>
          </controlPr>
        </control>
      </mc:Choice>
      <mc:Fallback>
        <control shapeId="3152" r:id="rId34" name="cbCMvsCL"/>
      </mc:Fallback>
    </mc:AlternateContent>
    <mc:AlternateContent xmlns:mc="http://schemas.openxmlformats.org/markup-compatibility/2006">
      <mc:Choice Requires="x14">
        <control shapeId="3158" r:id="rId36" name="cbAlphaVsCn">
          <controlPr defaultSize="0" autoLine="0" r:id="rId37">
            <anchor>
              <from>
                <xdr:col>4</xdr:col>
                <xdr:colOff>1211580</xdr:colOff>
                <xdr:row>4</xdr:row>
                <xdr:rowOff>137160</xdr:rowOff>
              </from>
              <to>
                <xdr:col>5</xdr:col>
                <xdr:colOff>556260</xdr:colOff>
                <xdr:row>6</xdr:row>
                <xdr:rowOff>15240</xdr:rowOff>
              </to>
            </anchor>
          </controlPr>
        </control>
      </mc:Choice>
      <mc:Fallback>
        <control shapeId="3158" r:id="rId36" name="cbAlphaVsCn"/>
      </mc:Fallback>
    </mc:AlternateContent>
    <mc:AlternateContent xmlns:mc="http://schemas.openxmlformats.org/markup-compatibility/2006">
      <mc:Choice Requires="x14">
        <control shapeId="3159" r:id="rId38" name="cbAlphaVsCLR">
          <controlPr defaultSize="0" autoLine="0" r:id="rId39">
            <anchor>
              <from>
                <xdr:col>4</xdr:col>
                <xdr:colOff>1211580</xdr:colOff>
                <xdr:row>6</xdr:row>
                <xdr:rowOff>60960</xdr:rowOff>
              </from>
              <to>
                <xdr:col>5</xdr:col>
                <xdr:colOff>556260</xdr:colOff>
                <xdr:row>7</xdr:row>
                <xdr:rowOff>99060</xdr:rowOff>
              </to>
            </anchor>
          </controlPr>
        </control>
      </mc:Choice>
      <mc:Fallback>
        <control shapeId="3159" r:id="rId38" name="cbAlphaVsCLR"/>
      </mc:Fallback>
    </mc:AlternateContent>
    <mc:AlternateContent xmlns:mc="http://schemas.openxmlformats.org/markup-compatibility/2006">
      <mc:Choice Requires="x14">
        <control shapeId="3160" r:id="rId40" name="cbAlphaVsCY">
          <controlPr defaultSize="0" autoLine="0" r:id="rId41">
            <anchor>
              <from>
                <xdr:col>4</xdr:col>
                <xdr:colOff>114300</xdr:colOff>
                <xdr:row>4</xdr:row>
                <xdr:rowOff>137160</xdr:rowOff>
              </from>
              <to>
                <xdr:col>4</xdr:col>
                <xdr:colOff>1104900</xdr:colOff>
                <xdr:row>6</xdr:row>
                <xdr:rowOff>15240</xdr:rowOff>
              </to>
            </anchor>
          </controlPr>
        </control>
      </mc:Choice>
      <mc:Fallback>
        <control shapeId="3160" r:id="rId40" name="cbAlphaVsCY"/>
      </mc:Fallback>
    </mc:AlternateContent>
    <mc:AlternateContent xmlns:mc="http://schemas.openxmlformats.org/markup-compatibility/2006">
      <mc:Choice Requires="x14">
        <control shapeId="3161" r:id="rId42" name="cbCYbvsCL">
          <controlPr defaultSize="0" autoLine="0" r:id="rId43">
            <anchor>
              <from>
                <xdr:col>8</xdr:col>
                <xdr:colOff>457200</xdr:colOff>
                <xdr:row>3</xdr:row>
                <xdr:rowOff>45720</xdr:rowOff>
              </from>
              <to>
                <xdr:col>10</xdr:col>
                <xdr:colOff>579120</xdr:colOff>
                <xdr:row>4</xdr:row>
                <xdr:rowOff>91440</xdr:rowOff>
              </to>
            </anchor>
          </controlPr>
        </control>
      </mc:Choice>
      <mc:Fallback>
        <control shapeId="3161" r:id="rId42" name="cbCYbvsCL"/>
      </mc:Fallback>
    </mc:AlternateContent>
    <mc:AlternateContent xmlns:mc="http://schemas.openxmlformats.org/markup-compatibility/2006">
      <mc:Choice Requires="x14">
        <control shapeId="3163" r:id="rId44" name="cbCLBvsCL">
          <controlPr defaultSize="0" autoLine="0" r:id="rId45">
            <anchor>
              <from>
                <xdr:col>8</xdr:col>
                <xdr:colOff>457200</xdr:colOff>
                <xdr:row>6</xdr:row>
                <xdr:rowOff>60960</xdr:rowOff>
              </from>
              <to>
                <xdr:col>10</xdr:col>
                <xdr:colOff>579120</xdr:colOff>
                <xdr:row>7</xdr:row>
                <xdr:rowOff>99060</xdr:rowOff>
              </to>
            </anchor>
          </controlPr>
        </control>
      </mc:Choice>
      <mc:Fallback>
        <control shapeId="3163" r:id="rId44" name="cbCLBvsCL"/>
      </mc:Fallback>
    </mc:AlternateContent>
    <mc:AlternateContent xmlns:mc="http://schemas.openxmlformats.org/markup-compatibility/2006">
      <mc:Choice Requires="x14">
        <control shapeId="3164" r:id="rId46" name="cbStaticMargin">
          <controlPr defaultSize="0" autoLine="0" r:id="rId47">
            <anchor>
              <from>
                <xdr:col>5</xdr:col>
                <xdr:colOff>708660</xdr:colOff>
                <xdr:row>3</xdr:row>
                <xdr:rowOff>45720</xdr:rowOff>
              </from>
              <to>
                <xdr:col>5</xdr:col>
                <xdr:colOff>1699260</xdr:colOff>
                <xdr:row>4</xdr:row>
                <xdr:rowOff>91440</xdr:rowOff>
              </to>
            </anchor>
          </controlPr>
        </control>
      </mc:Choice>
      <mc:Fallback>
        <control shapeId="3164" r:id="rId46" name="cbStaticMargin"/>
      </mc:Fallback>
    </mc:AlternateContent>
    <mc:AlternateContent xmlns:mc="http://schemas.openxmlformats.org/markup-compatibility/2006">
      <mc:Choice Requires="x14">
        <control shapeId="3165" r:id="rId48" name="cbCYBvsAlpha">
          <controlPr defaultSize="0" autoLine="0" r:id="rId49">
            <anchor>
              <from>
                <xdr:col>6</xdr:col>
                <xdr:colOff>198120</xdr:colOff>
                <xdr:row>3</xdr:row>
                <xdr:rowOff>45720</xdr:rowOff>
              </from>
              <to>
                <xdr:col>8</xdr:col>
                <xdr:colOff>350520</xdr:colOff>
                <xdr:row>4</xdr:row>
                <xdr:rowOff>91440</xdr:rowOff>
              </to>
            </anchor>
          </controlPr>
        </control>
      </mc:Choice>
      <mc:Fallback>
        <control shapeId="3165" r:id="rId48" name="cbCYBvsAlpha"/>
      </mc:Fallback>
    </mc:AlternateContent>
    <mc:AlternateContent xmlns:mc="http://schemas.openxmlformats.org/markup-compatibility/2006">
      <mc:Choice Requires="x14">
        <control shapeId="3166" r:id="rId50" name="Checkbox7">
          <controlPr defaultSize="0" disabled="1" autoLine="0" r:id="rId51">
            <anchor>
              <from>
                <xdr:col>5</xdr:col>
                <xdr:colOff>708660</xdr:colOff>
                <xdr:row>6</xdr:row>
                <xdr:rowOff>60960</xdr:rowOff>
              </from>
              <to>
                <xdr:col>5</xdr:col>
                <xdr:colOff>1699260</xdr:colOff>
                <xdr:row>7</xdr:row>
                <xdr:rowOff>99060</xdr:rowOff>
              </to>
            </anchor>
          </controlPr>
        </control>
      </mc:Choice>
      <mc:Fallback>
        <control shapeId="3166" r:id="rId50" name="Checkbox7"/>
      </mc:Fallback>
    </mc:AlternateContent>
    <mc:AlternateContent xmlns:mc="http://schemas.openxmlformats.org/markup-compatibility/2006">
      <mc:Choice Requires="x14">
        <control shapeId="3167" r:id="rId52" name="cbCMvsAlpha">
          <controlPr defaultSize="0" autoLine="0" r:id="rId53">
            <anchor>
              <from>
                <xdr:col>4</xdr:col>
                <xdr:colOff>1211580</xdr:colOff>
                <xdr:row>3</xdr:row>
                <xdr:rowOff>45720</xdr:rowOff>
              </from>
              <to>
                <xdr:col>5</xdr:col>
                <xdr:colOff>556260</xdr:colOff>
                <xdr:row>4</xdr:row>
                <xdr:rowOff>91440</xdr:rowOff>
              </to>
            </anchor>
          </controlPr>
        </control>
      </mc:Choice>
      <mc:Fallback>
        <control shapeId="3167" r:id="rId52" name="cbCMvsAlpha"/>
      </mc:Fallback>
    </mc:AlternateContent>
    <mc:AlternateContent xmlns:mc="http://schemas.openxmlformats.org/markup-compatibility/2006">
      <mc:Choice Requires="x14">
        <control shapeId="3170" r:id="rId54" name="cmdCloseFile1">
          <controlPr defaultSize="0" autoLine="0" r:id="rId55">
            <anchor moveWithCells="1">
              <from>
                <xdr:col>3</xdr:col>
                <xdr:colOff>449580</xdr:colOff>
                <xdr:row>11</xdr:row>
                <xdr:rowOff>7620</xdr:rowOff>
              </from>
              <to>
                <xdr:col>3</xdr:col>
                <xdr:colOff>876300</xdr:colOff>
                <xdr:row>12</xdr:row>
                <xdr:rowOff>0</xdr:rowOff>
              </to>
            </anchor>
          </controlPr>
        </control>
      </mc:Choice>
      <mc:Fallback>
        <control shapeId="3170" r:id="rId54" name="cmdCloseFile1"/>
      </mc:Fallback>
    </mc:AlternateContent>
    <mc:AlternateContent xmlns:mc="http://schemas.openxmlformats.org/markup-compatibility/2006">
      <mc:Choice Requires="x14">
        <control shapeId="3171" r:id="rId56" name="cmdCloseFile2">
          <controlPr defaultSize="0" autoLine="0" r:id="rId57">
            <anchor moveWithCells="1">
              <from>
                <xdr:col>3</xdr:col>
                <xdr:colOff>449580</xdr:colOff>
                <xdr:row>12</xdr:row>
                <xdr:rowOff>7620</xdr:rowOff>
              </from>
              <to>
                <xdr:col>3</xdr:col>
                <xdr:colOff>876300</xdr:colOff>
                <xdr:row>13</xdr:row>
                <xdr:rowOff>0</xdr:rowOff>
              </to>
            </anchor>
          </controlPr>
        </control>
      </mc:Choice>
      <mc:Fallback>
        <control shapeId="3171" r:id="rId56" name="cmdCloseFile2"/>
      </mc:Fallback>
    </mc:AlternateContent>
    <mc:AlternateContent xmlns:mc="http://schemas.openxmlformats.org/markup-compatibility/2006">
      <mc:Choice Requires="x14">
        <control shapeId="3172" r:id="rId58" name="cmdCloseFile3">
          <controlPr defaultSize="0" autoLine="0" r:id="rId59">
            <anchor moveWithCells="1">
              <from>
                <xdr:col>3</xdr:col>
                <xdr:colOff>449580</xdr:colOff>
                <xdr:row>13</xdr:row>
                <xdr:rowOff>7620</xdr:rowOff>
              </from>
              <to>
                <xdr:col>3</xdr:col>
                <xdr:colOff>876300</xdr:colOff>
                <xdr:row>14</xdr:row>
                <xdr:rowOff>0</xdr:rowOff>
              </to>
            </anchor>
          </controlPr>
        </control>
      </mc:Choice>
      <mc:Fallback>
        <control shapeId="3172" r:id="rId58" name="cmdCloseFile3"/>
      </mc:Fallback>
    </mc:AlternateContent>
    <mc:AlternateContent xmlns:mc="http://schemas.openxmlformats.org/markup-compatibility/2006">
      <mc:Choice Requires="x14">
        <control shapeId="3173" r:id="rId60" name="cmdCloseFile4">
          <controlPr defaultSize="0" autoLine="0" r:id="rId61">
            <anchor moveWithCells="1">
              <from>
                <xdr:col>3</xdr:col>
                <xdr:colOff>449580</xdr:colOff>
                <xdr:row>14</xdr:row>
                <xdr:rowOff>7620</xdr:rowOff>
              </from>
              <to>
                <xdr:col>3</xdr:col>
                <xdr:colOff>883920</xdr:colOff>
                <xdr:row>15</xdr:row>
                <xdr:rowOff>0</xdr:rowOff>
              </to>
            </anchor>
          </controlPr>
        </control>
      </mc:Choice>
      <mc:Fallback>
        <control shapeId="3173" r:id="rId60" name="cmdCloseFile4"/>
      </mc:Fallback>
    </mc:AlternateContent>
    <mc:AlternateContent xmlns:mc="http://schemas.openxmlformats.org/markup-compatibility/2006">
      <mc:Choice Requires="x14">
        <control shapeId="3174" r:id="rId62" name="cmdCloseFile5">
          <controlPr defaultSize="0" autoLine="0" r:id="rId63">
            <anchor moveWithCells="1">
              <from>
                <xdr:col>3</xdr:col>
                <xdr:colOff>449580</xdr:colOff>
                <xdr:row>15</xdr:row>
                <xdr:rowOff>7620</xdr:rowOff>
              </from>
              <to>
                <xdr:col>3</xdr:col>
                <xdr:colOff>883920</xdr:colOff>
                <xdr:row>16</xdr:row>
                <xdr:rowOff>0</xdr:rowOff>
              </to>
            </anchor>
          </controlPr>
        </control>
      </mc:Choice>
      <mc:Fallback>
        <control shapeId="3174" r:id="rId62" name="cmdCloseFile5"/>
      </mc:Fallback>
    </mc:AlternateContent>
    <mc:AlternateContent xmlns:mc="http://schemas.openxmlformats.org/markup-compatibility/2006">
      <mc:Choice Requires="x14">
        <control shapeId="3175" r:id="rId64" name="cmdCloseFile6">
          <controlPr defaultSize="0" autoLine="0" r:id="rId65">
            <anchor moveWithCells="1">
              <from>
                <xdr:col>3</xdr:col>
                <xdr:colOff>449580</xdr:colOff>
                <xdr:row>16</xdr:row>
                <xdr:rowOff>7620</xdr:rowOff>
              </from>
              <to>
                <xdr:col>3</xdr:col>
                <xdr:colOff>883920</xdr:colOff>
                <xdr:row>17</xdr:row>
                <xdr:rowOff>0</xdr:rowOff>
              </to>
            </anchor>
          </controlPr>
        </control>
      </mc:Choice>
      <mc:Fallback>
        <control shapeId="3175" r:id="rId64" name="cmdCloseFile6"/>
      </mc:Fallback>
    </mc:AlternateContent>
    <mc:AlternateContent xmlns:mc="http://schemas.openxmlformats.org/markup-compatibility/2006">
      <mc:Choice Requires="x14">
        <control shapeId="3176" r:id="rId66" name="cmdCloseFile7">
          <controlPr defaultSize="0" autoLine="0" r:id="rId67">
            <anchor moveWithCells="1">
              <from>
                <xdr:col>3</xdr:col>
                <xdr:colOff>449580</xdr:colOff>
                <xdr:row>17</xdr:row>
                <xdr:rowOff>7620</xdr:rowOff>
              </from>
              <to>
                <xdr:col>3</xdr:col>
                <xdr:colOff>883920</xdr:colOff>
                <xdr:row>18</xdr:row>
                <xdr:rowOff>0</xdr:rowOff>
              </to>
            </anchor>
          </controlPr>
        </control>
      </mc:Choice>
      <mc:Fallback>
        <control shapeId="3176" r:id="rId66" name="cmdCloseFile7"/>
      </mc:Fallback>
    </mc:AlternateContent>
    <mc:AlternateContent xmlns:mc="http://schemas.openxmlformats.org/markup-compatibility/2006">
      <mc:Choice Requires="x14">
        <control shapeId="3177" r:id="rId68" name="cmdCloseFile8">
          <controlPr defaultSize="0" autoLine="0" r:id="rId69">
            <anchor moveWithCells="1">
              <from>
                <xdr:col>3</xdr:col>
                <xdr:colOff>449580</xdr:colOff>
                <xdr:row>18</xdr:row>
                <xdr:rowOff>7620</xdr:rowOff>
              </from>
              <to>
                <xdr:col>3</xdr:col>
                <xdr:colOff>883920</xdr:colOff>
                <xdr:row>19</xdr:row>
                <xdr:rowOff>0</xdr:rowOff>
              </to>
            </anchor>
          </controlPr>
        </control>
      </mc:Choice>
      <mc:Fallback>
        <control shapeId="3177" r:id="rId68" name="cmdCloseFile8"/>
      </mc:Fallback>
    </mc:AlternateContent>
    <mc:AlternateContent xmlns:mc="http://schemas.openxmlformats.org/markup-compatibility/2006">
      <mc:Choice Requires="x14">
        <control shapeId="3179" r:id="rId70" name="cbCLAvsAlpha">
          <controlPr defaultSize="0" autoLine="0" r:id="rId71">
            <anchor>
              <from>
                <xdr:col>5</xdr:col>
                <xdr:colOff>708660</xdr:colOff>
                <xdr:row>4</xdr:row>
                <xdr:rowOff>137160</xdr:rowOff>
              </from>
              <to>
                <xdr:col>5</xdr:col>
                <xdr:colOff>1699260</xdr:colOff>
                <xdr:row>6</xdr:row>
                <xdr:rowOff>15240</xdr:rowOff>
              </to>
            </anchor>
          </controlPr>
        </control>
      </mc:Choice>
      <mc:Fallback>
        <control shapeId="3179" r:id="rId70" name="cbCLAvsAlpha"/>
      </mc:Fallback>
    </mc:AlternateContent>
    <mc:AlternateContent xmlns:mc="http://schemas.openxmlformats.org/markup-compatibility/2006">
      <mc:Choice Requires="x14">
        <control shapeId="3183" r:id="rId72" name="cbCNBvsCL">
          <controlPr defaultSize="0" autoLine="0" r:id="rId73">
            <anchor>
              <from>
                <xdr:col>8</xdr:col>
                <xdr:colOff>457200</xdr:colOff>
                <xdr:row>4</xdr:row>
                <xdr:rowOff>137160</xdr:rowOff>
              </from>
              <to>
                <xdr:col>10</xdr:col>
                <xdr:colOff>579120</xdr:colOff>
                <xdr:row>6</xdr:row>
                <xdr:rowOff>15240</xdr:rowOff>
              </to>
            </anchor>
          </controlPr>
        </control>
      </mc:Choice>
      <mc:Fallback>
        <control shapeId="3183" r:id="rId72" name="cbCNBvsCL"/>
      </mc:Fallback>
    </mc:AlternateContent>
    <mc:AlternateContent xmlns:mc="http://schemas.openxmlformats.org/markup-compatibility/2006">
      <mc:Choice Requires="x14">
        <control shapeId="3188" r:id="rId74" name="cmdDeleteCharts">
          <controlPr defaultSize="0" autoLine="0" r:id="rId75">
            <anchor>
              <from>
                <xdr:col>16</xdr:col>
                <xdr:colOff>289560</xdr:colOff>
                <xdr:row>4</xdr:row>
                <xdr:rowOff>99060</xdr:rowOff>
              </from>
              <to>
                <xdr:col>19</xdr:col>
                <xdr:colOff>205740</xdr:colOff>
                <xdr:row>7</xdr:row>
                <xdr:rowOff>106680</xdr:rowOff>
              </to>
            </anchor>
          </controlPr>
        </control>
      </mc:Choice>
      <mc:Fallback>
        <control shapeId="3188" r:id="rId74" name="cmdDeleteCharts"/>
      </mc:Fallback>
    </mc:AlternateContent>
    <mc:AlternateContent xmlns:mc="http://schemas.openxmlformats.org/markup-compatibility/2006">
      <mc:Choice Requires="x14">
        <control shapeId="3507" r:id="rId76" name="cbWallEffect1">
          <controlPr defaultSize="0" autoLine="0" r:id="rId77">
            <anchor moveWithCells="1">
              <from>
                <xdr:col>19</xdr:col>
                <xdr:colOff>83820</xdr:colOff>
                <xdr:row>11</xdr:row>
                <xdr:rowOff>60960</xdr:rowOff>
              </from>
              <to>
                <xdr:col>19</xdr:col>
                <xdr:colOff>228600</xdr:colOff>
                <xdr:row>11</xdr:row>
                <xdr:rowOff>259080</xdr:rowOff>
              </to>
            </anchor>
          </controlPr>
        </control>
      </mc:Choice>
      <mc:Fallback>
        <control shapeId="3507" r:id="rId76" name="cbWallEffect1"/>
      </mc:Fallback>
    </mc:AlternateContent>
    <mc:AlternateContent xmlns:mc="http://schemas.openxmlformats.org/markup-compatibility/2006">
      <mc:Choice Requires="x14">
        <control shapeId="3511" r:id="rId78" name="cbWallEffect2">
          <controlPr defaultSize="0" autoLine="0" r:id="rId77">
            <anchor moveWithCells="1">
              <from>
                <xdr:col>19</xdr:col>
                <xdr:colOff>83820</xdr:colOff>
                <xdr:row>12</xdr:row>
                <xdr:rowOff>60960</xdr:rowOff>
              </from>
              <to>
                <xdr:col>19</xdr:col>
                <xdr:colOff>228600</xdr:colOff>
                <xdr:row>12</xdr:row>
                <xdr:rowOff>259080</xdr:rowOff>
              </to>
            </anchor>
          </controlPr>
        </control>
      </mc:Choice>
      <mc:Fallback>
        <control shapeId="3511" r:id="rId78" name="cbWallEffect2"/>
      </mc:Fallback>
    </mc:AlternateContent>
    <mc:AlternateContent xmlns:mc="http://schemas.openxmlformats.org/markup-compatibility/2006">
      <mc:Choice Requires="x14">
        <control shapeId="3512" r:id="rId79" name="cbWallEffect3">
          <controlPr defaultSize="0" autoLine="0" r:id="rId77">
            <anchor moveWithCells="1">
              <from>
                <xdr:col>19</xdr:col>
                <xdr:colOff>83820</xdr:colOff>
                <xdr:row>13</xdr:row>
                <xdr:rowOff>60960</xdr:rowOff>
              </from>
              <to>
                <xdr:col>19</xdr:col>
                <xdr:colOff>228600</xdr:colOff>
                <xdr:row>13</xdr:row>
                <xdr:rowOff>259080</xdr:rowOff>
              </to>
            </anchor>
          </controlPr>
        </control>
      </mc:Choice>
      <mc:Fallback>
        <control shapeId="3512" r:id="rId79" name="cbWallEffect3"/>
      </mc:Fallback>
    </mc:AlternateContent>
    <mc:AlternateContent xmlns:mc="http://schemas.openxmlformats.org/markup-compatibility/2006">
      <mc:Choice Requires="x14">
        <control shapeId="3513" r:id="rId80" name="cbWallEffect4">
          <controlPr defaultSize="0" autoLine="0" r:id="rId77">
            <anchor moveWithCells="1">
              <from>
                <xdr:col>19</xdr:col>
                <xdr:colOff>83820</xdr:colOff>
                <xdr:row>14</xdr:row>
                <xdr:rowOff>60960</xdr:rowOff>
              </from>
              <to>
                <xdr:col>19</xdr:col>
                <xdr:colOff>228600</xdr:colOff>
                <xdr:row>14</xdr:row>
                <xdr:rowOff>259080</xdr:rowOff>
              </to>
            </anchor>
          </controlPr>
        </control>
      </mc:Choice>
      <mc:Fallback>
        <control shapeId="3513" r:id="rId80" name="cbWallEffect4"/>
      </mc:Fallback>
    </mc:AlternateContent>
    <mc:AlternateContent xmlns:mc="http://schemas.openxmlformats.org/markup-compatibility/2006">
      <mc:Choice Requires="x14">
        <control shapeId="3514" r:id="rId81" name="cbWallEffect5">
          <controlPr defaultSize="0" autoLine="0" r:id="rId82">
            <anchor moveWithCells="1">
              <from>
                <xdr:col>19</xdr:col>
                <xdr:colOff>83820</xdr:colOff>
                <xdr:row>15</xdr:row>
                <xdr:rowOff>45720</xdr:rowOff>
              </from>
              <to>
                <xdr:col>19</xdr:col>
                <xdr:colOff>228600</xdr:colOff>
                <xdr:row>15</xdr:row>
                <xdr:rowOff>243840</xdr:rowOff>
              </to>
            </anchor>
          </controlPr>
        </control>
      </mc:Choice>
      <mc:Fallback>
        <control shapeId="3514" r:id="rId81" name="cbWallEffect5"/>
      </mc:Fallback>
    </mc:AlternateContent>
    <mc:AlternateContent xmlns:mc="http://schemas.openxmlformats.org/markup-compatibility/2006">
      <mc:Choice Requires="x14">
        <control shapeId="3515" r:id="rId83" name="cbWallEffect6">
          <controlPr defaultSize="0" autoLine="0" r:id="rId82">
            <anchor moveWithCells="1">
              <from>
                <xdr:col>19</xdr:col>
                <xdr:colOff>83820</xdr:colOff>
                <xdr:row>16</xdr:row>
                <xdr:rowOff>45720</xdr:rowOff>
              </from>
              <to>
                <xdr:col>19</xdr:col>
                <xdr:colOff>228600</xdr:colOff>
                <xdr:row>16</xdr:row>
                <xdr:rowOff>243840</xdr:rowOff>
              </to>
            </anchor>
          </controlPr>
        </control>
      </mc:Choice>
      <mc:Fallback>
        <control shapeId="3515" r:id="rId83" name="cbWallEffect6"/>
      </mc:Fallback>
    </mc:AlternateContent>
    <mc:AlternateContent xmlns:mc="http://schemas.openxmlformats.org/markup-compatibility/2006">
      <mc:Choice Requires="x14">
        <control shapeId="3516" r:id="rId84" name="cbWallEffect7">
          <controlPr defaultSize="0" autoLine="0" r:id="rId82">
            <anchor moveWithCells="1">
              <from>
                <xdr:col>19</xdr:col>
                <xdr:colOff>83820</xdr:colOff>
                <xdr:row>17</xdr:row>
                <xdr:rowOff>38100</xdr:rowOff>
              </from>
              <to>
                <xdr:col>19</xdr:col>
                <xdr:colOff>228600</xdr:colOff>
                <xdr:row>17</xdr:row>
                <xdr:rowOff>236220</xdr:rowOff>
              </to>
            </anchor>
          </controlPr>
        </control>
      </mc:Choice>
      <mc:Fallback>
        <control shapeId="3516" r:id="rId84" name="cbWallEffect7"/>
      </mc:Fallback>
    </mc:AlternateContent>
    <mc:AlternateContent xmlns:mc="http://schemas.openxmlformats.org/markup-compatibility/2006">
      <mc:Choice Requires="x14">
        <control shapeId="3517" r:id="rId85" name="cbWallEffect8">
          <controlPr defaultSize="0" autoLine="0" r:id="rId82">
            <anchor moveWithCells="1">
              <from>
                <xdr:col>19</xdr:col>
                <xdr:colOff>83820</xdr:colOff>
                <xdr:row>18</xdr:row>
                <xdr:rowOff>45720</xdr:rowOff>
              </from>
              <to>
                <xdr:col>19</xdr:col>
                <xdr:colOff>228600</xdr:colOff>
                <xdr:row>18</xdr:row>
                <xdr:rowOff>243840</xdr:rowOff>
              </to>
            </anchor>
          </controlPr>
        </control>
      </mc:Choice>
      <mc:Fallback>
        <control shapeId="3517" r:id="rId85" name="cbWallEffect8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Sheet1"/>
  <dimension ref="B1:L11"/>
  <sheetViews>
    <sheetView workbookViewId="0">
      <selection activeCell="B6" sqref="B6"/>
    </sheetView>
  </sheetViews>
  <sheetFormatPr defaultColWidth="9.109375" defaultRowHeight="13.2" x14ac:dyDescent="0.25"/>
  <cols>
    <col min="1" max="1" width="1.33203125" customWidth="1"/>
    <col min="2" max="2" width="7.5546875" customWidth="1"/>
    <col min="3" max="3" width="26.44140625" customWidth="1"/>
    <col min="4" max="4" width="14" customWidth="1"/>
    <col min="5" max="5" width="46.44140625" customWidth="1"/>
    <col min="6" max="6" width="7.6640625" customWidth="1"/>
    <col min="7" max="7" width="9.33203125" customWidth="1"/>
    <col min="8" max="9" width="9.5546875" customWidth="1"/>
    <col min="10" max="10" width="10.88671875" customWidth="1"/>
    <col min="11" max="12" width="11.44140625" customWidth="1"/>
  </cols>
  <sheetData>
    <row r="1" spans="2:12" ht="24.6" customHeight="1" thickBot="1" x14ac:dyDescent="0.4">
      <c r="B1" s="263" t="s">
        <v>75</v>
      </c>
      <c r="C1" s="263"/>
      <c r="D1" s="263"/>
      <c r="E1" s="263"/>
      <c r="F1" s="263"/>
      <c r="G1" s="263"/>
      <c r="H1" s="263"/>
      <c r="I1" s="263"/>
      <c r="J1" s="263"/>
      <c r="K1" s="263"/>
      <c r="L1" s="263"/>
    </row>
    <row r="2" spans="2:12" ht="12.75" customHeight="1" x14ac:dyDescent="0.25">
      <c r="B2" s="264" t="s">
        <v>8</v>
      </c>
      <c r="C2" s="266" t="s">
        <v>0</v>
      </c>
      <c r="D2" s="270" t="s">
        <v>78</v>
      </c>
      <c r="E2" s="268" t="s">
        <v>76</v>
      </c>
      <c r="F2" s="270" t="s">
        <v>77</v>
      </c>
      <c r="G2" s="260" t="s">
        <v>111</v>
      </c>
      <c r="H2" s="261"/>
      <c r="I2" s="261"/>
      <c r="J2" s="262"/>
      <c r="K2" s="256" t="s">
        <v>109</v>
      </c>
      <c r="L2" s="258" t="s">
        <v>110</v>
      </c>
    </row>
    <row r="3" spans="2:12" ht="55.5" customHeight="1" x14ac:dyDescent="0.25">
      <c r="B3" s="265"/>
      <c r="C3" s="267"/>
      <c r="D3" s="226"/>
      <c r="E3" s="269"/>
      <c r="F3" s="271"/>
      <c r="G3" s="157" t="s">
        <v>107</v>
      </c>
      <c r="H3" s="157" t="s">
        <v>112</v>
      </c>
      <c r="I3" s="157" t="s">
        <v>108</v>
      </c>
      <c r="J3" s="157" t="s">
        <v>106</v>
      </c>
      <c r="K3" s="257"/>
      <c r="L3" s="259"/>
    </row>
    <row r="4" spans="2:12" ht="40.200000000000003" customHeight="1" x14ac:dyDescent="0.25">
      <c r="B4" s="67">
        <v>1</v>
      </c>
      <c r="C4" s="68" t="str">
        <f>IF('Data Entry'!E12&lt;&gt;"",'Data Entry'!E12,"")</f>
        <v>5gat_Atail_B0.COE</v>
      </c>
      <c r="D4" s="153"/>
      <c r="E4" s="153"/>
      <c r="F4" s="160">
        <f>IF('Data Entry'!$E12&lt;&gt;"",'Data Entry'!$O$21,"")</f>
        <v>4.1666666666666664E-2</v>
      </c>
      <c r="G4" s="161">
        <v>12</v>
      </c>
      <c r="H4" s="162">
        <v>81.5</v>
      </c>
      <c r="I4" s="163">
        <v>8.1999999999999993</v>
      </c>
      <c r="J4" s="158"/>
      <c r="K4" s="161">
        <f>IF('Data Entry'!$E12&lt;&gt;"",'Data Entry'!$N12,"")</f>
        <v>384</v>
      </c>
      <c r="L4" s="172">
        <f>IF('Data Entry'!E12&lt;&gt;"",((K4-'Data Entry'!M12)*F4-(J4-I4*0.25))/I4,"")</f>
        <v>1.693089430894309</v>
      </c>
    </row>
    <row r="5" spans="2:12" ht="40.200000000000003" customHeight="1" x14ac:dyDescent="0.25">
      <c r="B5" s="67">
        <v>2</v>
      </c>
      <c r="C5" s="68" t="str">
        <f>IF('Data Entry'!E13&lt;&gt;"",'Data Entry'!E13,"")</f>
        <v>5gat_Atail_B10.COE</v>
      </c>
      <c r="D5" s="153"/>
      <c r="E5" s="154"/>
      <c r="F5" s="164">
        <f>IF('Data Entry'!$E13&lt;&gt;"",'Data Entry'!$O$21,"")</f>
        <v>4.1666666666666664E-2</v>
      </c>
      <c r="G5" s="165">
        <v>12</v>
      </c>
      <c r="H5" s="166">
        <v>81.5</v>
      </c>
      <c r="I5" s="167">
        <v>8.1999999999999993</v>
      </c>
      <c r="J5" s="158"/>
      <c r="K5" s="165">
        <f>IF('Data Entry'!L13&lt;&gt;"",'Data Entry'!N13,"")</f>
        <v>384</v>
      </c>
      <c r="L5" s="173">
        <f>IF('Data Entry'!E13&lt;&gt;"",((K5-'Data Entry'!M13)*F5-(J5-I5*0.25))/I5,"")</f>
        <v>1.693089430894309</v>
      </c>
    </row>
    <row r="6" spans="2:12" ht="40.200000000000003" customHeight="1" x14ac:dyDescent="0.25">
      <c r="B6" s="67">
        <v>3</v>
      </c>
      <c r="C6" s="68" t="str">
        <f>IF('Data Entry'!E14&lt;&gt;"",'Data Entry'!E14,"")</f>
        <v/>
      </c>
      <c r="D6" s="153"/>
      <c r="E6" s="154"/>
      <c r="F6" s="164" t="str">
        <f>IF('Data Entry'!$E14&lt;&gt;"",'Data Entry'!$O$21,"")</f>
        <v/>
      </c>
      <c r="G6" s="165"/>
      <c r="H6" s="166"/>
      <c r="I6" s="167"/>
      <c r="J6" s="158"/>
      <c r="K6" s="165" t="str">
        <f>IF('Data Entry'!L14&lt;&gt;"",'Data Entry'!N14,"")</f>
        <v/>
      </c>
      <c r="L6" s="173" t="str">
        <f>IF('Data Entry'!E14&lt;&gt;"",((K6-'Data Entry'!M14)*F6-(J6-I6*0.25))/I6,"")</f>
        <v/>
      </c>
    </row>
    <row r="7" spans="2:12" ht="40.200000000000003" customHeight="1" x14ac:dyDescent="0.25">
      <c r="B7" s="67">
        <v>4</v>
      </c>
      <c r="C7" s="68" t="str">
        <f>IF('Data Entry'!E15&lt;&gt;"",'Data Entry'!E15,"")</f>
        <v/>
      </c>
      <c r="D7" s="153"/>
      <c r="E7" s="154"/>
      <c r="F7" s="164" t="str">
        <f>IF('Data Entry'!$E15&lt;&gt;"",'Data Entry'!$O$21,"")</f>
        <v/>
      </c>
      <c r="G7" s="165"/>
      <c r="H7" s="166"/>
      <c r="I7" s="167"/>
      <c r="J7" s="158"/>
      <c r="K7" s="165" t="str">
        <f>IF('Data Entry'!L15&lt;&gt;"",'Data Entry'!N15,"")</f>
        <v/>
      </c>
      <c r="L7" s="173" t="str">
        <f>IF('Data Entry'!E15&lt;&gt;"",((K7-'Data Entry'!M15)*F7-(J7-I7*0.25))/I7,"")</f>
        <v/>
      </c>
    </row>
    <row r="8" spans="2:12" ht="40.200000000000003" customHeight="1" x14ac:dyDescent="0.25">
      <c r="B8" s="67">
        <v>5</v>
      </c>
      <c r="C8" s="68" t="str">
        <f>IF('Data Entry'!E16&lt;&gt;"",'Data Entry'!E16,"")</f>
        <v/>
      </c>
      <c r="D8" s="153"/>
      <c r="E8" s="154"/>
      <c r="F8" s="164" t="str">
        <f>IF('Data Entry'!$E16&lt;&gt;"",'Data Entry'!$O$21,"")</f>
        <v/>
      </c>
      <c r="G8" s="165"/>
      <c r="H8" s="166"/>
      <c r="I8" s="167"/>
      <c r="J8" s="158"/>
      <c r="K8" s="165" t="str">
        <f>IF('Data Entry'!L16&lt;&gt;"",'Data Entry'!N16,"")</f>
        <v/>
      </c>
      <c r="L8" s="173" t="str">
        <f>IF('Data Entry'!E16&lt;&gt;"",((K8-'Data Entry'!M16)*F8-(J8-I8*0.25))/I8,"")</f>
        <v/>
      </c>
    </row>
    <row r="9" spans="2:12" ht="40.200000000000003" customHeight="1" x14ac:dyDescent="0.25">
      <c r="B9" s="67">
        <v>6</v>
      </c>
      <c r="C9" s="68" t="str">
        <f>IF('Data Entry'!E17&lt;&gt;"",'Data Entry'!E17,"")</f>
        <v/>
      </c>
      <c r="D9" s="153"/>
      <c r="E9" s="154"/>
      <c r="F9" s="164" t="str">
        <f>IF('Data Entry'!$E17&lt;&gt;"",'Data Entry'!$O$21,"")</f>
        <v/>
      </c>
      <c r="G9" s="165"/>
      <c r="H9" s="166"/>
      <c r="I9" s="167"/>
      <c r="J9" s="158"/>
      <c r="K9" s="165" t="str">
        <f>IF('Data Entry'!L17&lt;&gt;"",'Data Entry'!N17,"")</f>
        <v/>
      </c>
      <c r="L9" s="173" t="str">
        <f>IF('Data Entry'!E17&lt;&gt;"",((K9-'Data Entry'!M17)*F9-(J9-I9*0.25))/I9,"")</f>
        <v/>
      </c>
    </row>
    <row r="10" spans="2:12" ht="40.200000000000003" customHeight="1" x14ac:dyDescent="0.25">
      <c r="B10" s="67">
        <v>7</v>
      </c>
      <c r="C10" s="68" t="str">
        <f>IF('Data Entry'!E18&lt;&gt;"",'Data Entry'!E18,"")</f>
        <v/>
      </c>
      <c r="D10" s="153"/>
      <c r="E10" s="154"/>
      <c r="F10" s="164" t="str">
        <f>IF('Data Entry'!$E18&lt;&gt;"",'Data Entry'!$O$21,"")</f>
        <v/>
      </c>
      <c r="G10" s="165"/>
      <c r="H10" s="166"/>
      <c r="I10" s="167"/>
      <c r="J10" s="158"/>
      <c r="K10" s="165" t="str">
        <f>IF('Data Entry'!L18&lt;&gt;"",'Data Entry'!N18,"")</f>
        <v/>
      </c>
      <c r="L10" s="173" t="str">
        <f>IF('Data Entry'!E18&lt;&gt;"",((K10-'Data Entry'!M18)*F10-(J10-I10*0.25))/I10,"")</f>
        <v/>
      </c>
    </row>
    <row r="11" spans="2:12" ht="40.200000000000003" customHeight="1" thickBot="1" x14ac:dyDescent="0.3">
      <c r="B11" s="69">
        <v>8</v>
      </c>
      <c r="C11" s="70" t="str">
        <f>IF('Data Entry'!E19&lt;&gt;"",'Data Entry'!E19,"")</f>
        <v/>
      </c>
      <c r="D11" s="155"/>
      <c r="E11" s="156"/>
      <c r="F11" s="168" t="str">
        <f>IF('Data Entry'!$E19&lt;&gt;"",'Data Entry'!$O$21,"")</f>
        <v/>
      </c>
      <c r="G11" s="169"/>
      <c r="H11" s="170"/>
      <c r="I11" s="171"/>
      <c r="J11" s="159"/>
      <c r="K11" s="169" t="str">
        <f>IF('Data Entry'!L19&lt;&gt;"",'Data Entry'!N19,"")</f>
        <v/>
      </c>
      <c r="L11" s="174" t="str">
        <f>IF('Data Entry'!E19&lt;&gt;"",((K11-'Data Entry'!M19)*F11-(J11-I11*0.25))/I11,"")</f>
        <v/>
      </c>
    </row>
  </sheetData>
  <sheetProtection sheet="1" objects="1" scenarios="1"/>
  <mergeCells count="9">
    <mergeCell ref="K2:K3"/>
    <mergeCell ref="L2:L3"/>
    <mergeCell ref="G2:J2"/>
    <mergeCell ref="B1:L1"/>
    <mergeCell ref="B2:B3"/>
    <mergeCell ref="C2:C3"/>
    <mergeCell ref="E2:E3"/>
    <mergeCell ref="D2:D3"/>
    <mergeCell ref="F2:F3"/>
  </mergeCells>
  <pageMargins left="0.7" right="0.7" top="0.75" bottom="0.75" header="0.3" footer="0.3"/>
  <pageSetup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 codeName="Sheet2"/>
  <dimension ref="A1:AN231"/>
  <sheetViews>
    <sheetView workbookViewId="0">
      <selection activeCell="C3" sqref="C3:D3"/>
    </sheetView>
  </sheetViews>
  <sheetFormatPr defaultColWidth="9.109375" defaultRowHeight="13.2" x14ac:dyDescent="0.25"/>
  <cols>
    <col min="1" max="1" width="3.109375" style="1" customWidth="1"/>
    <col min="2" max="2" width="12.88671875" style="1" customWidth="1"/>
    <col min="3" max="3" width="12.109375" style="1" customWidth="1"/>
    <col min="4" max="5" width="9.109375" style="1"/>
    <col min="6" max="6" width="14.88671875" style="1" customWidth="1"/>
    <col min="7" max="8" width="9.109375" style="1"/>
    <col min="9" max="9" width="4.33203125" style="1" customWidth="1"/>
    <col min="10" max="10" width="9.109375" style="1"/>
    <col min="11" max="12" width="11" style="1" customWidth="1"/>
    <col min="13" max="13" width="3.109375" style="1" customWidth="1"/>
    <col min="14" max="15" width="9.6640625" style="1" customWidth="1"/>
    <col min="16" max="25" width="9.109375" style="1"/>
    <col min="26" max="26" width="9.44140625" style="1" customWidth="1"/>
    <col min="27" max="36" width="9.109375" style="1"/>
    <col min="37" max="37" width="9.109375" style="1" customWidth="1"/>
    <col min="38" max="39" width="9.109375" style="1"/>
    <col min="40" max="40" width="43.44140625" style="1" customWidth="1"/>
    <col min="41" max="16384" width="9.109375" style="1"/>
  </cols>
  <sheetData>
    <row r="1" spans="1:40" ht="26.4" customHeight="1" thickBot="1" x14ac:dyDescent="0.3">
      <c r="A1" s="49"/>
      <c r="B1" s="286" t="s">
        <v>60</v>
      </c>
      <c r="C1" s="286"/>
      <c r="D1" s="286"/>
      <c r="E1" s="286"/>
      <c r="F1" s="286"/>
      <c r="G1" s="286"/>
      <c r="H1" s="286"/>
      <c r="I1" s="50"/>
      <c r="K1" s="277" t="s">
        <v>95</v>
      </c>
      <c r="L1" s="277"/>
      <c r="AA1" s="78" t="s">
        <v>21</v>
      </c>
      <c r="AB1" s="79" t="s">
        <v>22</v>
      </c>
      <c r="AC1" s="79" t="s">
        <v>23</v>
      </c>
      <c r="AD1" s="79" t="s">
        <v>24</v>
      </c>
      <c r="AE1" s="79" t="s">
        <v>25</v>
      </c>
      <c r="AF1" s="79" t="s">
        <v>26</v>
      </c>
      <c r="AG1" s="79" t="s">
        <v>27</v>
      </c>
      <c r="AH1" s="79" t="s">
        <v>30</v>
      </c>
      <c r="AI1" s="79" t="s">
        <v>28</v>
      </c>
      <c r="AJ1" s="79" t="s">
        <v>29</v>
      </c>
      <c r="AK1" s="79" t="s">
        <v>31</v>
      </c>
      <c r="AL1" s="79" t="s">
        <v>79</v>
      </c>
      <c r="AM1" s="80" t="s">
        <v>42</v>
      </c>
      <c r="AN1" s="30" t="s">
        <v>34</v>
      </c>
    </row>
    <row r="2" spans="1:40" ht="13.5" customHeight="1" thickBot="1" x14ac:dyDescent="0.3">
      <c r="A2" s="54"/>
      <c r="B2" s="287" t="s">
        <v>59</v>
      </c>
      <c r="C2" s="288"/>
      <c r="D2" s="289"/>
      <c r="E2" s="55"/>
      <c r="F2" s="295" t="s">
        <v>55</v>
      </c>
      <c r="G2" s="296"/>
      <c r="H2" s="297"/>
      <c r="I2" s="51"/>
      <c r="K2" s="89" t="s">
        <v>88</v>
      </c>
      <c r="L2" s="90" t="s">
        <v>89</v>
      </c>
      <c r="Z2" s="28" t="s">
        <v>32</v>
      </c>
      <c r="AA2" s="22">
        <v>-15</v>
      </c>
      <c r="AB2" s="23"/>
      <c r="AC2" s="23"/>
      <c r="AD2" s="23"/>
      <c r="AE2" s="23"/>
      <c r="AF2" s="23"/>
      <c r="AG2" s="23"/>
      <c r="AH2" s="23"/>
      <c r="AI2" s="23"/>
      <c r="AJ2" s="23"/>
      <c r="AK2" s="23"/>
      <c r="AL2" s="23"/>
      <c r="AM2" s="31"/>
      <c r="AN2" s="272" t="s">
        <v>35</v>
      </c>
    </row>
    <row r="3" spans="1:40" ht="14.4" x14ac:dyDescent="0.3">
      <c r="A3" s="54"/>
      <c r="B3" s="52" t="s">
        <v>14</v>
      </c>
      <c r="C3" s="292">
        <v>0</v>
      </c>
      <c r="D3" s="291"/>
      <c r="E3" s="55"/>
      <c r="F3" s="62" t="s">
        <v>44</v>
      </c>
      <c r="G3" s="63" t="s">
        <v>45</v>
      </c>
      <c r="H3" s="64" t="s">
        <v>46</v>
      </c>
      <c r="I3" s="51"/>
      <c r="K3" s="91">
        <v>1.1954432093394944E-2</v>
      </c>
      <c r="L3" s="92">
        <v>0.13656111296519477</v>
      </c>
      <c r="N3" s="129" t="s">
        <v>96</v>
      </c>
      <c r="AA3" s="24">
        <v>-14</v>
      </c>
      <c r="AB3" s="25"/>
      <c r="AC3" s="25"/>
      <c r="AD3" s="25"/>
      <c r="AE3" s="25"/>
      <c r="AF3" s="25"/>
      <c r="AG3" s="25"/>
      <c r="AH3" s="25"/>
      <c r="AI3" s="25"/>
      <c r="AJ3" s="25"/>
      <c r="AK3" s="25"/>
      <c r="AL3" s="25"/>
      <c r="AM3" s="32"/>
      <c r="AN3" s="273"/>
    </row>
    <row r="4" spans="1:40" ht="15" thickBot="1" x14ac:dyDescent="0.35">
      <c r="A4" s="54"/>
      <c r="B4" s="53" t="s">
        <v>15</v>
      </c>
      <c r="C4" s="293">
        <v>-10</v>
      </c>
      <c r="D4" s="294"/>
      <c r="E4" s="55"/>
      <c r="F4" s="61" t="s">
        <v>21</v>
      </c>
      <c r="G4" s="72">
        <v>-999</v>
      </c>
      <c r="H4" s="73">
        <v>-999</v>
      </c>
      <c r="I4" s="51"/>
      <c r="K4" s="93">
        <v>5.1152865022422896E-2</v>
      </c>
      <c r="L4" s="94">
        <v>0.13682924659016749</v>
      </c>
      <c r="N4" s="285" t="s">
        <v>97</v>
      </c>
      <c r="O4" s="285"/>
      <c r="P4" s="285"/>
      <c r="Q4" s="285"/>
      <c r="AA4" s="24">
        <v>-13</v>
      </c>
      <c r="AB4" s="25"/>
      <c r="AC4" s="25"/>
      <c r="AD4" s="25"/>
      <c r="AE4" s="25"/>
      <c r="AF4" s="25"/>
      <c r="AG4" s="25"/>
      <c r="AH4" s="25"/>
      <c r="AI4" s="25"/>
      <c r="AJ4" s="25"/>
      <c r="AK4" s="25"/>
      <c r="AL4" s="25"/>
      <c r="AM4" s="32"/>
      <c r="AN4" s="273"/>
    </row>
    <row r="5" spans="1:40" ht="15" thickBot="1" x14ac:dyDescent="0.35">
      <c r="A5" s="54"/>
      <c r="B5" s="55"/>
      <c r="C5" s="55"/>
      <c r="D5" s="55"/>
      <c r="E5" s="55"/>
      <c r="F5" s="56" t="s">
        <v>22</v>
      </c>
      <c r="G5" s="74">
        <v>-999</v>
      </c>
      <c r="H5" s="75">
        <v>-999</v>
      </c>
      <c r="I5" s="51"/>
      <c r="K5" s="93">
        <v>8.7784807070755366E-2</v>
      </c>
      <c r="L5" s="94">
        <v>0.13723322757598361</v>
      </c>
      <c r="N5" s="129" t="s">
        <v>98</v>
      </c>
      <c r="AA5" s="24">
        <v>-12</v>
      </c>
      <c r="AB5" s="25"/>
      <c r="AC5" s="25"/>
      <c r="AD5" s="25"/>
      <c r="AE5" s="25"/>
      <c r="AF5" s="25"/>
      <c r="AG5" s="25"/>
      <c r="AH5" s="25"/>
      <c r="AI5" s="25"/>
      <c r="AJ5" s="25"/>
      <c r="AK5" s="25"/>
      <c r="AL5" s="25"/>
      <c r="AM5" s="32"/>
      <c r="AN5" s="274"/>
    </row>
    <row r="6" spans="1:40" ht="12.75" customHeight="1" x14ac:dyDescent="0.3">
      <c r="A6" s="54"/>
      <c r="B6" s="287" t="s">
        <v>58</v>
      </c>
      <c r="C6" s="288"/>
      <c r="D6" s="289"/>
      <c r="E6" s="55"/>
      <c r="F6" s="56" t="s">
        <v>23</v>
      </c>
      <c r="G6" s="74">
        <v>-999</v>
      </c>
      <c r="H6" s="75">
        <v>-999</v>
      </c>
      <c r="I6" s="51"/>
      <c r="K6" s="93">
        <v>0.12240553496175002</v>
      </c>
      <c r="L6" s="94">
        <v>0.13735713678403291</v>
      </c>
      <c r="AA6" s="24">
        <v>-11</v>
      </c>
      <c r="AB6" s="25"/>
      <c r="AC6" s="25"/>
      <c r="AD6" s="25"/>
      <c r="AE6" s="25"/>
      <c r="AF6" s="25"/>
      <c r="AG6" s="25"/>
      <c r="AH6" s="25"/>
      <c r="AI6" s="25"/>
      <c r="AJ6" s="25"/>
      <c r="AK6" s="25"/>
      <c r="AL6" s="25"/>
      <c r="AM6" s="32"/>
      <c r="AN6" s="272" t="s">
        <v>36</v>
      </c>
    </row>
    <row r="7" spans="1:40" ht="15" customHeight="1" thickBot="1" x14ac:dyDescent="0.35">
      <c r="A7" s="54"/>
      <c r="B7" s="57" t="s">
        <v>56</v>
      </c>
      <c r="C7" s="290" t="s">
        <v>13</v>
      </c>
      <c r="D7" s="291"/>
      <c r="E7" s="55"/>
      <c r="F7" s="56" t="s">
        <v>24</v>
      </c>
      <c r="G7" s="74">
        <v>-999</v>
      </c>
      <c r="H7" s="75">
        <v>-999</v>
      </c>
      <c r="I7" s="51"/>
      <c r="K7" s="93">
        <v>0.15226117629713301</v>
      </c>
      <c r="L7" s="94">
        <v>0.13764208669904471</v>
      </c>
      <c r="N7" s="278" t="s">
        <v>86</v>
      </c>
      <c r="O7" s="278"/>
      <c r="P7" s="278"/>
      <c r="AA7" s="24">
        <v>-10</v>
      </c>
      <c r="AB7" s="25"/>
      <c r="AC7" s="25"/>
      <c r="AD7" s="25"/>
      <c r="AE7" s="25"/>
      <c r="AF7" s="25"/>
      <c r="AG7" s="25"/>
      <c r="AH7" s="25"/>
      <c r="AI7" s="25"/>
      <c r="AJ7" s="25"/>
      <c r="AK7" s="25"/>
      <c r="AL7" s="25"/>
      <c r="AM7" s="32"/>
      <c r="AN7" s="274"/>
    </row>
    <row r="8" spans="1:40" ht="12.75" customHeight="1" thickBot="1" x14ac:dyDescent="0.35">
      <c r="A8" s="54"/>
      <c r="B8" s="58" t="s">
        <v>57</v>
      </c>
      <c r="C8" s="283" t="s">
        <v>13</v>
      </c>
      <c r="D8" s="284"/>
      <c r="E8" s="55"/>
      <c r="F8" s="56" t="s">
        <v>27</v>
      </c>
      <c r="G8" s="74">
        <v>-999</v>
      </c>
      <c r="H8" s="75">
        <v>-999</v>
      </c>
      <c r="I8" s="51"/>
      <c r="K8" s="93">
        <v>0.19218891335441887</v>
      </c>
      <c r="L8" s="94">
        <v>0.13816101762578009</v>
      </c>
      <c r="N8" s="97" t="s">
        <v>85</v>
      </c>
      <c r="O8" s="98"/>
      <c r="P8" s="99">
        <v>36</v>
      </c>
      <c r="AA8" s="24">
        <v>-9</v>
      </c>
      <c r="AB8" s="25"/>
      <c r="AC8" s="25"/>
      <c r="AD8" s="25"/>
      <c r="AE8" s="25"/>
      <c r="AF8" s="25"/>
      <c r="AG8" s="25"/>
      <c r="AH8" s="25"/>
      <c r="AI8" s="25"/>
      <c r="AJ8" s="25"/>
      <c r="AK8" s="25"/>
      <c r="AL8" s="25"/>
      <c r="AM8" s="32"/>
      <c r="AN8" s="275" t="s">
        <v>37</v>
      </c>
    </row>
    <row r="9" spans="1:40" ht="15" thickBot="1" x14ac:dyDescent="0.35">
      <c r="A9" s="54"/>
      <c r="B9" s="59"/>
      <c r="C9" s="81"/>
      <c r="D9" s="81"/>
      <c r="E9" s="55"/>
      <c r="F9" s="61" t="s">
        <v>31</v>
      </c>
      <c r="G9" s="72">
        <v>-999</v>
      </c>
      <c r="H9" s="73">
        <v>-999</v>
      </c>
      <c r="I9" s="51"/>
      <c r="K9" s="93">
        <v>0.22369130755604899</v>
      </c>
      <c r="L9" s="94">
        <v>0.13858675521675939</v>
      </c>
      <c r="N9" s="100" t="s">
        <v>87</v>
      </c>
      <c r="O9" s="101"/>
      <c r="P9" s="102">
        <v>36</v>
      </c>
      <c r="AA9" s="24">
        <v>-8</v>
      </c>
      <c r="AB9" s="25"/>
      <c r="AC9" s="25"/>
      <c r="AD9" s="25"/>
      <c r="AE9" s="25"/>
      <c r="AF9" s="25"/>
      <c r="AG9" s="25"/>
      <c r="AH9" s="25"/>
      <c r="AI9" s="25"/>
      <c r="AJ9" s="25"/>
      <c r="AK9" s="25"/>
      <c r="AL9" s="25"/>
      <c r="AM9" s="32"/>
      <c r="AN9" s="276"/>
    </row>
    <row r="10" spans="1:40" ht="13.5" customHeight="1" x14ac:dyDescent="0.3">
      <c r="A10" s="54"/>
      <c r="B10" s="298" t="s">
        <v>54</v>
      </c>
      <c r="C10" s="299"/>
      <c r="D10" s="300"/>
      <c r="E10" s="55"/>
      <c r="F10" s="56" t="s">
        <v>25</v>
      </c>
      <c r="G10" s="72">
        <v>-999</v>
      </c>
      <c r="H10" s="73">
        <v>-999</v>
      </c>
      <c r="I10" s="51"/>
      <c r="K10" s="93">
        <v>0.26434873028766925</v>
      </c>
      <c r="L10" s="94">
        <v>0.13932871254342147</v>
      </c>
      <c r="N10" s="279" t="s">
        <v>90</v>
      </c>
      <c r="O10" s="279"/>
      <c r="P10" s="279"/>
      <c r="AA10" s="24">
        <v>-7</v>
      </c>
      <c r="AB10" s="25"/>
      <c r="AC10" s="25"/>
      <c r="AD10" s="25"/>
      <c r="AE10" s="25"/>
      <c r="AF10" s="25"/>
      <c r="AG10" s="25"/>
      <c r="AH10" s="25"/>
      <c r="AI10" s="25"/>
      <c r="AJ10" s="25"/>
      <c r="AK10" s="25"/>
      <c r="AL10" s="25"/>
      <c r="AM10" s="32"/>
      <c r="AN10" s="275" t="s">
        <v>38</v>
      </c>
    </row>
    <row r="11" spans="1:40" ht="12.75" customHeight="1" x14ac:dyDescent="0.3">
      <c r="A11" s="54"/>
      <c r="B11" s="61" t="s">
        <v>47</v>
      </c>
      <c r="C11" s="292">
        <v>16</v>
      </c>
      <c r="D11" s="291"/>
      <c r="E11" s="55"/>
      <c r="F11" s="56" t="s">
        <v>26</v>
      </c>
      <c r="G11" s="72">
        <v>-999</v>
      </c>
      <c r="H11" s="73">
        <v>-999</v>
      </c>
      <c r="I11" s="51"/>
      <c r="K11" s="93">
        <v>0.29383342404866081</v>
      </c>
      <c r="L11" s="94">
        <v>0.13994648368784537</v>
      </c>
      <c r="N11" s="280"/>
      <c r="O11" s="280"/>
      <c r="P11" s="280"/>
      <c r="AA11" s="24">
        <v>-6</v>
      </c>
      <c r="AB11" s="25"/>
      <c r="AC11" s="25"/>
      <c r="AD11" s="25"/>
      <c r="AE11" s="25"/>
      <c r="AF11" s="25"/>
      <c r="AG11" s="25"/>
      <c r="AH11" s="25"/>
      <c r="AI11" s="25"/>
      <c r="AJ11" s="25"/>
      <c r="AK11" s="25"/>
      <c r="AL11" s="25"/>
      <c r="AM11" s="32"/>
      <c r="AN11" s="276"/>
    </row>
    <row r="12" spans="1:40" ht="12.75" customHeight="1" x14ac:dyDescent="0.3">
      <c r="A12" s="54"/>
      <c r="B12" s="56" t="s">
        <v>48</v>
      </c>
      <c r="C12" s="281">
        <v>14</v>
      </c>
      <c r="D12" s="282"/>
      <c r="E12" s="55"/>
      <c r="F12" s="56" t="s">
        <v>30</v>
      </c>
      <c r="G12" s="74">
        <v>-999</v>
      </c>
      <c r="H12" s="75">
        <v>-999</v>
      </c>
      <c r="I12" s="51"/>
      <c r="K12" s="93">
        <v>0.32935900965711962</v>
      </c>
      <c r="L12" s="94">
        <v>0.14087682303068644</v>
      </c>
      <c r="N12" s="280"/>
      <c r="O12" s="280"/>
      <c r="P12" s="280"/>
      <c r="AA12" s="24">
        <v>-5</v>
      </c>
      <c r="AB12" s="25"/>
      <c r="AC12" s="25"/>
      <c r="AD12" s="25"/>
      <c r="AE12" s="25"/>
      <c r="AF12" s="25"/>
      <c r="AG12" s="25"/>
      <c r="AH12" s="25"/>
      <c r="AI12" s="25"/>
      <c r="AJ12" s="25"/>
      <c r="AK12" s="25"/>
      <c r="AL12" s="25"/>
      <c r="AM12" s="32"/>
      <c r="AN12" s="275" t="s">
        <v>39</v>
      </c>
    </row>
    <row r="13" spans="1:40" ht="14.4" x14ac:dyDescent="0.3">
      <c r="A13" s="54"/>
      <c r="B13" s="56" t="s">
        <v>49</v>
      </c>
      <c r="C13" s="281">
        <v>14</v>
      </c>
      <c r="D13" s="282"/>
      <c r="E13" s="55"/>
      <c r="F13" s="56" t="s">
        <v>28</v>
      </c>
      <c r="G13" s="74">
        <v>-999</v>
      </c>
      <c r="H13" s="75">
        <v>-999</v>
      </c>
      <c r="I13" s="51"/>
      <c r="K13" s="93">
        <v>0.37074382878661521</v>
      </c>
      <c r="L13" s="94">
        <v>0.14200843216829101</v>
      </c>
      <c r="N13" s="280"/>
      <c r="O13" s="280"/>
      <c r="P13" s="280"/>
      <c r="AA13" s="24">
        <v>-4</v>
      </c>
      <c r="AB13" s="25"/>
      <c r="AC13" s="25"/>
      <c r="AD13" s="25"/>
      <c r="AE13" s="25"/>
      <c r="AF13" s="25"/>
      <c r="AG13" s="25"/>
      <c r="AH13" s="25"/>
      <c r="AI13" s="25"/>
      <c r="AJ13" s="25"/>
      <c r="AK13" s="25"/>
      <c r="AL13" s="25"/>
      <c r="AM13" s="32"/>
      <c r="AN13" s="276"/>
    </row>
    <row r="14" spans="1:40" ht="12.75" customHeight="1" x14ac:dyDescent="0.3">
      <c r="A14" s="54"/>
      <c r="B14" s="56" t="s">
        <v>50</v>
      </c>
      <c r="C14" s="281">
        <v>16</v>
      </c>
      <c r="D14" s="282"/>
      <c r="E14" s="55"/>
      <c r="F14" s="56" t="s">
        <v>29</v>
      </c>
      <c r="G14" s="74">
        <v>-999</v>
      </c>
      <c r="H14" s="75">
        <v>-999</v>
      </c>
      <c r="I14" s="51"/>
      <c r="K14" s="93">
        <v>0.41249158302289535</v>
      </c>
      <c r="L14" s="94">
        <v>0.1433904090150388</v>
      </c>
      <c r="AA14" s="24">
        <v>-3</v>
      </c>
      <c r="AB14" s="25"/>
      <c r="AC14" s="25"/>
      <c r="AD14" s="25"/>
      <c r="AE14" s="25"/>
      <c r="AF14" s="25"/>
      <c r="AG14" s="25"/>
      <c r="AH14" s="25"/>
      <c r="AI14" s="25"/>
      <c r="AJ14" s="25"/>
      <c r="AK14" s="25"/>
      <c r="AL14" s="25"/>
      <c r="AM14" s="32"/>
      <c r="AN14" s="275" t="s">
        <v>40</v>
      </c>
    </row>
    <row r="15" spans="1:40" ht="14.4" x14ac:dyDescent="0.3">
      <c r="A15" s="54"/>
      <c r="B15" s="56" t="s">
        <v>51</v>
      </c>
      <c r="C15" s="281">
        <v>16</v>
      </c>
      <c r="D15" s="282"/>
      <c r="E15" s="55"/>
      <c r="F15" s="56" t="s">
        <v>80</v>
      </c>
      <c r="G15" s="74">
        <v>-999</v>
      </c>
      <c r="H15" s="75">
        <v>-999</v>
      </c>
      <c r="I15" s="51"/>
      <c r="K15" s="93">
        <v>0.46045807197230831</v>
      </c>
      <c r="L15" s="94">
        <v>0.14547396148221703</v>
      </c>
      <c r="AA15" s="24">
        <v>-2</v>
      </c>
      <c r="AB15" s="25"/>
      <c r="AC15" s="25"/>
      <c r="AD15" s="25"/>
      <c r="AE15" s="25"/>
      <c r="AF15" s="25"/>
      <c r="AG15" s="25"/>
      <c r="AH15" s="25"/>
      <c r="AI15" s="25"/>
      <c r="AJ15" s="25"/>
      <c r="AK15" s="25"/>
      <c r="AL15" s="25"/>
      <c r="AM15" s="32"/>
      <c r="AN15" s="276"/>
    </row>
    <row r="16" spans="1:40" ht="15" thickBot="1" x14ac:dyDescent="0.35">
      <c r="A16" s="54"/>
      <c r="B16" s="60" t="s">
        <v>52</v>
      </c>
      <c r="C16" s="293">
        <v>10</v>
      </c>
      <c r="D16" s="294"/>
      <c r="E16" s="55"/>
      <c r="F16" s="60" t="s">
        <v>79</v>
      </c>
      <c r="G16" s="76">
        <v>-999</v>
      </c>
      <c r="H16" s="77">
        <v>-999</v>
      </c>
      <c r="I16" s="51"/>
      <c r="K16" s="93">
        <v>0.50530813496273919</v>
      </c>
      <c r="L16" s="94">
        <v>0.1477204878231454</v>
      </c>
      <c r="AA16" s="24">
        <v>-1</v>
      </c>
      <c r="AB16" s="25"/>
      <c r="AC16" s="25"/>
      <c r="AD16" s="25"/>
      <c r="AE16" s="25"/>
      <c r="AF16" s="25"/>
      <c r="AG16" s="25"/>
      <c r="AH16" s="25"/>
      <c r="AI16" s="25"/>
      <c r="AJ16" s="25"/>
      <c r="AK16" s="25"/>
      <c r="AL16" s="25"/>
      <c r="AM16" s="32"/>
    </row>
    <row r="17" spans="1:39" ht="14.4" x14ac:dyDescent="0.3">
      <c r="A17" s="54"/>
      <c r="B17" s="55"/>
      <c r="C17" s="55"/>
      <c r="D17" s="55"/>
      <c r="E17" s="55"/>
      <c r="F17" s="87" t="s">
        <v>53</v>
      </c>
      <c r="G17" s="88"/>
      <c r="H17" s="88"/>
      <c r="I17" s="51"/>
      <c r="K17" s="93">
        <v>0.54008495759303776</v>
      </c>
      <c r="L17" s="94">
        <v>0.14981634585785808</v>
      </c>
      <c r="AA17" s="24">
        <v>0</v>
      </c>
      <c r="AB17" s="25"/>
      <c r="AC17" s="25"/>
      <c r="AD17" s="25">
        <v>4.2680745606693028E-4</v>
      </c>
      <c r="AE17" s="25">
        <v>7.4768740829362038E-2</v>
      </c>
      <c r="AF17" s="25"/>
      <c r="AG17" s="25"/>
      <c r="AH17" s="25">
        <v>-2.2943803538215922E-2</v>
      </c>
      <c r="AI17" s="25">
        <v>3.0809830254349348E-3</v>
      </c>
      <c r="AJ17" s="25">
        <v>-1.4136289158024698E-3</v>
      </c>
      <c r="AK17" s="25">
        <f>(AD18-AD17)/($AA18-$AA17)</f>
        <v>5.8402387150715065E-5</v>
      </c>
      <c r="AL17" s="25"/>
      <c r="AM17" s="32"/>
    </row>
    <row r="18" spans="1:39" ht="14.4" x14ac:dyDescent="0.3">
      <c r="A18" s="54"/>
      <c r="B18" s="55"/>
      <c r="C18" s="55"/>
      <c r="D18" s="55"/>
      <c r="E18" s="55"/>
      <c r="F18" s="55"/>
      <c r="G18" s="55"/>
      <c r="H18" s="55"/>
      <c r="I18" s="51"/>
      <c r="K18" s="93">
        <v>0.5858375890244738</v>
      </c>
      <c r="L18" s="94">
        <v>0.15303592774459401</v>
      </c>
      <c r="AA18" s="24">
        <v>1</v>
      </c>
      <c r="AB18" s="29">
        <v>9.3839314067958091E-2</v>
      </c>
      <c r="AC18" s="25"/>
      <c r="AD18" s="25">
        <v>4.8520984321764535E-4</v>
      </c>
      <c r="AE18" s="25">
        <v>7.4391078730665527E-2</v>
      </c>
      <c r="AF18" s="25"/>
      <c r="AG18" s="25"/>
      <c r="AH18" s="25">
        <v>-2.2893334809613961E-2</v>
      </c>
      <c r="AI18" s="25">
        <v>3.0207136240749327E-3</v>
      </c>
      <c r="AJ18" s="25">
        <v>-1.6614577985579453E-3</v>
      </c>
      <c r="AK18" s="25">
        <f t="shared" ref="AK18:AK40" si="0">(AD19-AD17)/($AA19-$AA17)</f>
        <v>8.866217236967993E-5</v>
      </c>
      <c r="AL18" s="25">
        <f>(AB19-AB18)/($AA19-$AA18)</f>
        <v>6.6687837408701212E-2</v>
      </c>
      <c r="AM18" s="32"/>
    </row>
    <row r="19" spans="1:39" ht="15" thickBot="1" x14ac:dyDescent="0.35">
      <c r="A19" s="175"/>
      <c r="B19" s="176"/>
      <c r="C19" s="176"/>
      <c r="D19" s="176"/>
      <c r="E19" s="176"/>
      <c r="F19" s="176"/>
      <c r="G19" s="176"/>
      <c r="H19" s="176"/>
      <c r="I19" s="177"/>
      <c r="K19" s="93">
        <v>0.6147486918504349</v>
      </c>
      <c r="L19" s="94">
        <v>0.15540262131575458</v>
      </c>
      <c r="AA19" s="24">
        <v>2</v>
      </c>
      <c r="AB19" s="29">
        <v>0.1605271514766593</v>
      </c>
      <c r="AC19" s="25"/>
      <c r="AD19" s="25">
        <v>6.0413180080629014E-4</v>
      </c>
      <c r="AE19" s="25">
        <v>7.3246119467843901E-2</v>
      </c>
      <c r="AF19" s="25"/>
      <c r="AG19" s="25"/>
      <c r="AH19" s="25">
        <v>-2.2984171679426194E-2</v>
      </c>
      <c r="AI19" s="25">
        <v>2.9948291310252675E-3</v>
      </c>
      <c r="AJ19" s="25">
        <v>-1.8690028942185666E-3</v>
      </c>
      <c r="AK19" s="25">
        <f t="shared" si="0"/>
        <v>1.440731844242699E-4</v>
      </c>
      <c r="AL19" s="25">
        <f t="shared" ref="AL19:AL37" si="1">(AB20-AB18)/($AA20-$AA18)</f>
        <v>6.3829787234042423E-2</v>
      </c>
      <c r="AM19" s="32"/>
    </row>
    <row r="20" spans="1:39" ht="14.4" x14ac:dyDescent="0.3">
      <c r="A20" s="103"/>
      <c r="B20" s="103"/>
      <c r="C20" s="103"/>
      <c r="D20" s="103"/>
      <c r="E20" s="103"/>
      <c r="F20" s="103"/>
      <c r="G20" s="103"/>
      <c r="H20" s="103"/>
      <c r="I20" s="103"/>
      <c r="K20" s="93">
        <v>0.65902058535291719</v>
      </c>
      <c r="L20" s="94">
        <v>0.15973132090545122</v>
      </c>
      <c r="AA20" s="24">
        <v>3</v>
      </c>
      <c r="AB20" s="29">
        <v>0.22149888853604294</v>
      </c>
      <c r="AC20" s="25"/>
      <c r="AD20" s="25">
        <v>7.7335621206618514E-4</v>
      </c>
      <c r="AE20" s="25">
        <v>7.1660487755209654E-2</v>
      </c>
      <c r="AF20" s="25"/>
      <c r="AG20" s="25"/>
      <c r="AH20" s="25">
        <v>-2.2933826100907578E-2</v>
      </c>
      <c r="AI20" s="25">
        <v>2.9769635960013472E-3</v>
      </c>
      <c r="AJ20" s="25">
        <v>-2.0484911372631149E-3</v>
      </c>
      <c r="AK20" s="25">
        <f t="shared" si="0"/>
        <v>1.7423507837296525E-4</v>
      </c>
      <c r="AL20" s="25">
        <f t="shared" si="1"/>
        <v>6.2877103842489568E-2</v>
      </c>
      <c r="AM20" s="32"/>
    </row>
    <row r="21" spans="1:39" ht="14.4" x14ac:dyDescent="0.3">
      <c r="A21" s="103"/>
      <c r="B21" s="103"/>
      <c r="C21" s="103"/>
      <c r="D21" s="103"/>
      <c r="E21" s="103"/>
      <c r="F21" s="103"/>
      <c r="G21" s="103"/>
      <c r="H21" s="103"/>
      <c r="I21" s="103"/>
      <c r="K21" s="93">
        <v>0.68791795252012355</v>
      </c>
      <c r="L21" s="94">
        <v>0.16309776694270661</v>
      </c>
      <c r="AA21" s="24">
        <v>4</v>
      </c>
      <c r="AB21" s="29">
        <v>0.28628135916163844</v>
      </c>
      <c r="AC21" s="25"/>
      <c r="AD21" s="25">
        <v>9.5260195755222064E-4</v>
      </c>
      <c r="AE21" s="25">
        <v>6.9871770162675984E-2</v>
      </c>
      <c r="AF21" s="25"/>
      <c r="AG21" s="25"/>
      <c r="AH21" s="25">
        <v>-2.2903825372269586E-2</v>
      </c>
      <c r="AI21" s="25">
        <v>2.9449384676489138E-3</v>
      </c>
      <c r="AJ21" s="25">
        <v>-2.209868358273841E-3</v>
      </c>
      <c r="AK21" s="25">
        <f t="shared" si="0"/>
        <v>2.2458647767934804E-4</v>
      </c>
      <c r="AL21" s="25">
        <f t="shared" si="1"/>
        <v>6.9069545887583406E-2</v>
      </c>
      <c r="AM21" s="32"/>
    </row>
    <row r="22" spans="1:39" ht="14.4" x14ac:dyDescent="0.3">
      <c r="K22" s="93">
        <v>0.71808921724880315</v>
      </c>
      <c r="L22" s="94">
        <v>0.16707667639452145</v>
      </c>
      <c r="AA22" s="24">
        <v>5</v>
      </c>
      <c r="AB22" s="29">
        <v>0.35963798031120975</v>
      </c>
      <c r="AC22" s="25"/>
      <c r="AD22" s="25">
        <v>1.2225291674248812E-3</v>
      </c>
      <c r="AE22" s="25">
        <v>6.7838611317680902E-2</v>
      </c>
      <c r="AF22" s="25"/>
      <c r="AG22" s="25"/>
      <c r="AH22" s="25">
        <v>-2.2731533844550615E-2</v>
      </c>
      <c r="AI22" s="25">
        <v>2.9209978467655004E-3</v>
      </c>
      <c r="AJ22" s="25">
        <v>-2.3632055040244578E-3</v>
      </c>
      <c r="AK22" s="25">
        <f t="shared" si="0"/>
        <v>3.2536269474481728E-4</v>
      </c>
      <c r="AL22" s="25">
        <f t="shared" si="1"/>
        <v>6.7164179104477695E-2</v>
      </c>
      <c r="AM22" s="32"/>
    </row>
    <row r="23" spans="1:39" ht="14.4" x14ac:dyDescent="0.3">
      <c r="K23" s="93">
        <v>0.74624163689861456</v>
      </c>
      <c r="L23" s="94">
        <v>0.17133093210528882</v>
      </c>
      <c r="AA23" s="24">
        <v>6</v>
      </c>
      <c r="AB23" s="29">
        <v>0.42060971737059383</v>
      </c>
      <c r="AC23" s="25"/>
      <c r="AD23" s="25">
        <v>1.6033273470418552E-3</v>
      </c>
      <c r="AE23" s="25">
        <v>6.5566284052953783E-2</v>
      </c>
      <c r="AF23" s="25"/>
      <c r="AG23" s="25"/>
      <c r="AH23" s="25">
        <v>-2.2762321365387778E-2</v>
      </c>
      <c r="AI23" s="25">
        <v>2.8910289610535049E-3</v>
      </c>
      <c r="AJ23" s="25">
        <v>-2.4762901417280858E-3</v>
      </c>
      <c r="AK23" s="25">
        <f t="shared" si="0"/>
        <v>4.1601968631387477E-4</v>
      </c>
      <c r="AL23" s="25">
        <f t="shared" si="1"/>
        <v>6.6687837408701212E-2</v>
      </c>
      <c r="AM23" s="32"/>
    </row>
    <row r="24" spans="1:39" ht="14.4" x14ac:dyDescent="0.3">
      <c r="K24" s="93">
        <v>0.76268589125041841</v>
      </c>
      <c r="L24" s="94">
        <v>0.17443283387695799</v>
      </c>
      <c r="AA24" s="24">
        <v>7</v>
      </c>
      <c r="AB24" s="29">
        <v>0.49301365512861217</v>
      </c>
      <c r="AC24" s="25"/>
      <c r="AD24" s="25">
        <v>2.0545685400526308E-3</v>
      </c>
      <c r="AE24" s="25">
        <v>6.3736474729494591E-2</v>
      </c>
      <c r="AF24" s="25"/>
      <c r="AG24" s="25"/>
      <c r="AH24" s="25">
        <v>-2.273195118649974E-2</v>
      </c>
      <c r="AI24" s="25">
        <v>2.8933419199804978E-3</v>
      </c>
      <c r="AJ24" s="25">
        <v>-2.5854381525959682E-3</v>
      </c>
      <c r="AK24" s="25">
        <f t="shared" si="0"/>
        <v>4.2601654772244984E-4</v>
      </c>
      <c r="AL24" s="25">
        <f t="shared" si="1"/>
        <v>6.4306128929819018E-2</v>
      </c>
      <c r="AM24" s="32"/>
    </row>
    <row r="25" spans="1:39" ht="14.4" x14ac:dyDescent="0.3">
      <c r="K25" s="93">
        <v>0.78241716505141568</v>
      </c>
      <c r="L25" s="94">
        <v>0.17828841633177361</v>
      </c>
      <c r="AA25" s="24">
        <v>8</v>
      </c>
      <c r="AB25" s="29">
        <v>0.54922197523023186</v>
      </c>
      <c r="AC25" s="25"/>
      <c r="AD25" s="25">
        <v>2.4553604424867549E-3</v>
      </c>
      <c r="AE25" s="25">
        <v>6.1827909285458435E-2</v>
      </c>
      <c r="AF25" s="25"/>
      <c r="AG25" s="25"/>
      <c r="AH25" s="25">
        <v>-2.2540053709400237E-2</v>
      </c>
      <c r="AI25" s="25">
        <v>2.8754670207503958E-3</v>
      </c>
      <c r="AJ25" s="25">
        <v>-2.6744338435671353E-3</v>
      </c>
      <c r="AK25" s="25">
        <f t="shared" si="0"/>
        <v>4.3114957892335676E-4</v>
      </c>
      <c r="AL25" s="25">
        <f t="shared" si="1"/>
        <v>5.9542711972054629E-2</v>
      </c>
      <c r="AM25" s="32"/>
    </row>
    <row r="26" spans="1:39" ht="14.4" x14ac:dyDescent="0.3">
      <c r="K26" s="93">
        <v>0.80195609723583994</v>
      </c>
      <c r="L26" s="94">
        <v>0.18281028563434273</v>
      </c>
      <c r="AA26" s="24">
        <v>9</v>
      </c>
      <c r="AB26" s="29">
        <v>0.61209907907272143</v>
      </c>
      <c r="AC26" s="25"/>
      <c r="AD26" s="25">
        <v>2.9168676978993443E-3</v>
      </c>
      <c r="AE26" s="25">
        <v>6.0523592290027614E-2</v>
      </c>
      <c r="AF26" s="25"/>
      <c r="AG26" s="25"/>
      <c r="AH26" s="25">
        <v>-2.2166284084208655E-2</v>
      </c>
      <c r="AI26" s="25">
        <v>2.8777799796773887E-3</v>
      </c>
      <c r="AJ26" s="25">
        <v>-2.7594512023054016E-3</v>
      </c>
      <c r="AK26" s="25">
        <f t="shared" si="0"/>
        <v>4.3611130040129356E-4</v>
      </c>
      <c r="AL26" s="25">
        <f t="shared" si="1"/>
        <v>6.4306128929819018E-2</v>
      </c>
      <c r="AM26" s="32"/>
    </row>
    <row r="27" spans="1:39" ht="14.4" x14ac:dyDescent="0.3">
      <c r="K27" s="93">
        <v>0.81875222185820951</v>
      </c>
      <c r="L27" s="94">
        <v>0.18696791126839812</v>
      </c>
      <c r="AA27" s="24">
        <v>10</v>
      </c>
      <c r="AB27" s="29">
        <v>0.6778342330898699</v>
      </c>
      <c r="AC27" s="25"/>
      <c r="AD27" s="25">
        <v>3.327583043289342E-3</v>
      </c>
      <c r="AE27" s="25">
        <v>6.0225477236817454E-2</v>
      </c>
      <c r="AF27" s="25"/>
      <c r="AG27" s="25"/>
      <c r="AH27" s="25">
        <v>-2.1792391308933727E-2</v>
      </c>
      <c r="AI27" s="25">
        <v>2.8538768156187041E-3</v>
      </c>
      <c r="AJ27" s="25">
        <v>-2.8363555013385393E-3</v>
      </c>
      <c r="AK27" s="25">
        <f t="shared" si="0"/>
        <v>3.6549697728452055E-4</v>
      </c>
      <c r="AL27" s="25">
        <f t="shared" si="1"/>
        <v>6.4782470625595501E-2</v>
      </c>
      <c r="AM27" s="32"/>
    </row>
    <row r="28" spans="1:39" ht="14.4" x14ac:dyDescent="0.3">
      <c r="K28" s="93">
        <v>0.83207203778342453</v>
      </c>
      <c r="L28" s="94">
        <v>0.19081597585237275</v>
      </c>
      <c r="AA28" s="24">
        <v>11</v>
      </c>
      <c r="AB28" s="29">
        <v>0.74166402032391243</v>
      </c>
      <c r="AC28" s="25"/>
      <c r="AD28" s="25">
        <v>3.6478616524683854E-3</v>
      </c>
      <c r="AE28" s="25">
        <v>5.9888115944137066E-2</v>
      </c>
      <c r="AF28" s="25"/>
      <c r="AG28" s="25"/>
      <c r="AH28" s="25">
        <v>-2.1296059984125041E-2</v>
      </c>
      <c r="AI28" s="25">
        <v>2.8278799520948532E-3</v>
      </c>
      <c r="AJ28" s="25">
        <v>-2.8972213552486128E-3</v>
      </c>
      <c r="AK28" s="25">
        <f t="shared" si="0"/>
        <v>2.9512738234341957E-4</v>
      </c>
      <c r="AL28" s="25">
        <f t="shared" si="1"/>
        <v>6.4782470625595501E-2</v>
      </c>
      <c r="AM28" s="32"/>
    </row>
    <row r="29" spans="1:39" ht="14.4" x14ac:dyDescent="0.3">
      <c r="K29" s="93">
        <v>0.84702716019259128</v>
      </c>
      <c r="L29" s="94">
        <v>0.19563795516739391</v>
      </c>
      <c r="AA29" s="24">
        <v>12</v>
      </c>
      <c r="AB29" s="29">
        <v>0.8073991743410609</v>
      </c>
      <c r="AC29" s="25"/>
      <c r="AD29" s="25">
        <v>3.9178378079761812E-3</v>
      </c>
      <c r="AE29" s="25">
        <v>5.9670075219686217E-2</v>
      </c>
      <c r="AF29" s="25"/>
      <c r="AG29" s="25"/>
      <c r="AH29" s="25">
        <v>-2.0720442811210806E-2</v>
      </c>
      <c r="AI29" s="25">
        <v>2.832192968425191E-3</v>
      </c>
      <c r="AJ29" s="25">
        <v>-2.9661585634666613E-3</v>
      </c>
      <c r="AK29" s="25">
        <f t="shared" si="0"/>
        <v>1.641403256941211E-4</v>
      </c>
      <c r="AL29" s="25">
        <f t="shared" si="1"/>
        <v>6.7164179104477695E-2</v>
      </c>
      <c r="AM29" s="32"/>
    </row>
    <row r="30" spans="1:39" ht="14.4" x14ac:dyDescent="0.3">
      <c r="K30" s="93">
        <v>0.8619750332263042</v>
      </c>
      <c r="L30" s="94">
        <v>0.20098758161729846</v>
      </c>
      <c r="AA30" s="24">
        <v>13</v>
      </c>
      <c r="AB30" s="29">
        <v>0.87599237853286782</v>
      </c>
      <c r="AC30" s="25"/>
      <c r="AD30" s="25">
        <v>3.9761423038566276E-3</v>
      </c>
      <c r="AE30" s="25">
        <v>5.9855306197033026E-2</v>
      </c>
      <c r="AF30" s="25"/>
      <c r="AG30" s="25"/>
      <c r="AH30" s="25">
        <v>-2.0143470987379737E-2</v>
      </c>
      <c r="AI30" s="25">
        <v>2.8385060421588742E-3</v>
      </c>
      <c r="AJ30" s="25">
        <v>-3.0028833388978304E-3</v>
      </c>
      <c r="AK30" s="25">
        <f t="shared" si="0"/>
        <v>6.842372137685817E-5</v>
      </c>
      <c r="AL30" s="25">
        <f t="shared" si="1"/>
        <v>6.9545887583359667E-2</v>
      </c>
      <c r="AM30" s="32"/>
    </row>
    <row r="31" spans="1:39" ht="14.4" x14ac:dyDescent="0.3">
      <c r="K31" s="93">
        <v>0.87326989933542676</v>
      </c>
      <c r="L31" s="94">
        <v>0.20555532688960104</v>
      </c>
      <c r="AA31" s="24">
        <v>14</v>
      </c>
      <c r="AB31" s="29">
        <v>0.94649094950778023</v>
      </c>
      <c r="AC31" s="25"/>
      <c r="AD31" s="25">
        <v>4.0546852507298975E-3</v>
      </c>
      <c r="AE31" s="25">
        <v>6.0081628905305384E-2</v>
      </c>
      <c r="AF31" s="25"/>
      <c r="AG31" s="25"/>
      <c r="AH31" s="25">
        <v>-1.9546277463751399E-2</v>
      </c>
      <c r="AI31" s="25">
        <v>2.8387627584454292E-3</v>
      </c>
      <c r="AJ31" s="25">
        <v>-3.0415868540961616E-3</v>
      </c>
      <c r="AK31" s="25">
        <f t="shared" si="0"/>
        <v>8.7893460301600428E-6</v>
      </c>
      <c r="AL31" s="25">
        <f t="shared" si="1"/>
        <v>4.7634169577643583E-2</v>
      </c>
      <c r="AM31" s="32"/>
    </row>
    <row r="32" spans="1:39" ht="14.4" x14ac:dyDescent="0.3">
      <c r="K32" s="93">
        <v>0.8836450274301012</v>
      </c>
      <c r="L32" s="94">
        <v>0.21039970719871462</v>
      </c>
      <c r="AA32" s="24">
        <v>16</v>
      </c>
      <c r="AB32" s="29">
        <v>1.0188948872657986</v>
      </c>
      <c r="AC32" s="25"/>
      <c r="AD32" s="25">
        <v>4.0025103419471077E-3</v>
      </c>
      <c r="AE32" s="25">
        <v>6.0307951613577729E-2</v>
      </c>
      <c r="AF32" s="25"/>
      <c r="AG32" s="25"/>
      <c r="AH32" s="25">
        <v>-1.8929601140825883E-2</v>
      </c>
      <c r="AI32" s="25">
        <v>2.8269348524562732E-3</v>
      </c>
      <c r="AJ32" s="25">
        <v>-3.0964017988625758E-3</v>
      </c>
      <c r="AK32" s="25">
        <f t="shared" si="0"/>
        <v>-6.8861670984253541E-5</v>
      </c>
      <c r="AL32" s="25">
        <f t="shared" si="1"/>
        <v>3.3582089552238847E-2</v>
      </c>
      <c r="AM32" s="32"/>
    </row>
    <row r="33" spans="11:40" ht="14.4" x14ac:dyDescent="0.3">
      <c r="K33" s="93">
        <v>0.89274396868684325</v>
      </c>
      <c r="L33" s="94">
        <v>0.2147982495042845</v>
      </c>
      <c r="AA33" s="24">
        <v>18</v>
      </c>
      <c r="AB33" s="29">
        <v>1.0808193077167356</v>
      </c>
      <c r="AC33" s="25"/>
      <c r="AD33" s="25">
        <v>3.7792385667928833E-3</v>
      </c>
      <c r="AE33" s="25">
        <v>6.1379273040006246E-2</v>
      </c>
      <c r="AF33" s="25"/>
      <c r="AG33" s="25"/>
      <c r="AH33" s="25">
        <v>-1.802945157048854E-2</v>
      </c>
      <c r="AI33" s="25">
        <v>2.7847970666129277E-3</v>
      </c>
      <c r="AJ33" s="25">
        <v>-3.1250864990336365E-3</v>
      </c>
      <c r="AK33" s="25">
        <f t="shared" si="0"/>
        <v>-1.368850056830055E-4</v>
      </c>
      <c r="AL33" s="25">
        <f t="shared" si="1"/>
        <v>3.1914893617021267E-2</v>
      </c>
      <c r="AM33" s="32"/>
    </row>
    <row r="34" spans="11:40" ht="15" thickBot="1" x14ac:dyDescent="0.35">
      <c r="K34" s="95">
        <v>0.89856695533061082</v>
      </c>
      <c r="L34" s="96">
        <v>0.21763775497346488</v>
      </c>
      <c r="AA34" s="24">
        <v>20</v>
      </c>
      <c r="AB34" s="29">
        <v>1.1465544617338836</v>
      </c>
      <c r="AC34" s="25"/>
      <c r="AD34" s="25">
        <v>3.4549703192150857E-3</v>
      </c>
      <c r="AE34" s="25">
        <v>6.1766535330706612E-2</v>
      </c>
      <c r="AF34" s="25"/>
      <c r="AG34" s="25"/>
      <c r="AH34" s="25">
        <v>-1.7230287349054199E-2</v>
      </c>
      <c r="AI34" s="25">
        <v>2.6760393488511683E-3</v>
      </c>
      <c r="AJ34" s="25">
        <v>-3.1738818137042575E-3</v>
      </c>
      <c r="AK34" s="25">
        <f t="shared" si="0"/>
        <v>-1.8979068418105904E-4</v>
      </c>
      <c r="AL34" s="25">
        <f t="shared" si="1"/>
        <v>3.2629406160685881E-2</v>
      </c>
      <c r="AM34" s="32"/>
    </row>
    <row r="35" spans="11:40" x14ac:dyDescent="0.25">
      <c r="AA35" s="24">
        <v>22</v>
      </c>
      <c r="AB35" s="29">
        <v>1.2113369323594791</v>
      </c>
      <c r="AC35" s="25"/>
      <c r="AD35" s="25">
        <v>3.0200758300686472E-3</v>
      </c>
      <c r="AE35" s="25">
        <v>6.3522970459409189E-2</v>
      </c>
      <c r="AF35" s="25"/>
      <c r="AG35" s="25"/>
      <c r="AH35" s="25">
        <v>-1.6613364725961987E-2</v>
      </c>
      <c r="AI35" s="25">
        <v>2.4865676552857556E-3</v>
      </c>
      <c r="AJ35" s="25">
        <v>-3.1991221920538073E-3</v>
      </c>
      <c r="AK35" s="25">
        <f t="shared" si="0"/>
        <v>-2.4009313785230794E-4</v>
      </c>
      <c r="AL35" s="25">
        <f t="shared" si="1"/>
        <v>2.8580501746586218E-2</v>
      </c>
      <c r="AM35" s="32"/>
    </row>
    <row r="36" spans="11:40" x14ac:dyDescent="0.25">
      <c r="AA36" s="24">
        <v>24</v>
      </c>
      <c r="AB36" s="29">
        <v>1.2608764687202285</v>
      </c>
      <c r="AC36" s="25"/>
      <c r="AD36" s="25">
        <v>2.4945977678058539E-3</v>
      </c>
      <c r="AE36" s="25">
        <v>6.4633801766944429E-2</v>
      </c>
      <c r="AF36" s="25"/>
      <c r="AG36" s="25"/>
      <c r="AH36" s="25">
        <v>-1.5632574656602262E-2</v>
      </c>
      <c r="AI36" s="25">
        <v>2.0649168645013832E-3</v>
      </c>
      <c r="AJ36" s="25">
        <v>-3.155446214883886E-3</v>
      </c>
      <c r="AK36" s="25">
        <f t="shared" si="0"/>
        <v>-2.9048124638504235E-4</v>
      </c>
      <c r="AL36" s="25">
        <f t="shared" si="1"/>
        <v>2.381708478882183E-2</v>
      </c>
      <c r="AM36" s="32"/>
    </row>
    <row r="37" spans="11:40" x14ac:dyDescent="0.25">
      <c r="AA37" s="24">
        <v>26</v>
      </c>
      <c r="AB37" s="29">
        <v>1.3066052715147665</v>
      </c>
      <c r="AC37" s="25"/>
      <c r="AD37" s="25">
        <v>1.8581508445284778E-3</v>
      </c>
      <c r="AE37" s="25">
        <v>6.6069148655700391E-2</v>
      </c>
      <c r="AF37" s="25"/>
      <c r="AG37" s="25"/>
      <c r="AH37" s="25">
        <v>-1.4793582785990127E-2</v>
      </c>
      <c r="AI37" s="25">
        <v>1.44539697115893E-3</v>
      </c>
      <c r="AJ37" s="25">
        <v>-3.0615406200368597E-3</v>
      </c>
      <c r="AK37" s="25">
        <f t="shared" si="0"/>
        <v>-3.4333797924796156E-4</v>
      </c>
      <c r="AL37" s="25">
        <f t="shared" si="1"/>
        <v>1.8577326135281069E-2</v>
      </c>
      <c r="AM37" s="32"/>
    </row>
    <row r="38" spans="11:40" x14ac:dyDescent="0.25">
      <c r="AA38" s="24">
        <v>28</v>
      </c>
      <c r="AB38" s="29">
        <v>1.3351857732613528</v>
      </c>
      <c r="AC38" s="25"/>
      <c r="AD38" s="25">
        <v>1.1212458508140077E-3</v>
      </c>
      <c r="AE38" s="25">
        <v>6.7705735932900482E-2</v>
      </c>
      <c r="AF38" s="25"/>
      <c r="AG38" s="25"/>
      <c r="AH38" s="25">
        <v>-1.369195511818018E-2</v>
      </c>
      <c r="AI38" s="25">
        <v>9.14731746326243E-4</v>
      </c>
      <c r="AJ38" s="25">
        <v>-2.9274242225399991E-3</v>
      </c>
      <c r="AK38" s="25">
        <f t="shared" si="0"/>
        <v>4.1380546545933053E-4</v>
      </c>
      <c r="AL38" s="25">
        <f>(AB38-AB37)/($AA38-$AA37)</f>
        <v>1.4290250873293164E-2</v>
      </c>
      <c r="AM38" s="32"/>
    </row>
    <row r="39" spans="11:40" x14ac:dyDescent="0.25">
      <c r="AA39" s="24">
        <v>22</v>
      </c>
      <c r="AB39" s="25"/>
      <c r="AC39" s="25"/>
      <c r="AD39" s="25">
        <v>2.0292898269115567E-4</v>
      </c>
      <c r="AE39" s="25">
        <v>6.9625219777122813E-2</v>
      </c>
      <c r="AF39" s="25"/>
      <c r="AG39" s="25"/>
      <c r="AH39" s="25">
        <v>-1.2750992697998252E-2</v>
      </c>
      <c r="AI39" s="25">
        <v>6.1013307602829456E-4</v>
      </c>
      <c r="AJ39" s="25">
        <v>-2.7812372858036869E-3</v>
      </c>
      <c r="AK39" s="25">
        <f t="shared" si="0"/>
        <v>3.5931946899525472E-4</v>
      </c>
      <c r="AL39" s="25"/>
      <c r="AM39" s="32"/>
    </row>
    <row r="40" spans="11:40" x14ac:dyDescent="0.25">
      <c r="AA40" s="24">
        <v>23</v>
      </c>
      <c r="AB40" s="25"/>
      <c r="AC40" s="25"/>
      <c r="AD40" s="25">
        <v>-6.7535149416226604E-4</v>
      </c>
      <c r="AE40" s="25">
        <v>7.1220978965033849E-2</v>
      </c>
      <c r="AF40" s="25"/>
      <c r="AG40" s="25"/>
      <c r="AH40" s="25">
        <v>-1.1669586729985575E-2</v>
      </c>
      <c r="AI40" s="25">
        <v>4.7923426373700504E-4</v>
      </c>
      <c r="AJ40" s="25">
        <v>-2.6310303114373199E-3</v>
      </c>
      <c r="AK40" s="25">
        <f t="shared" si="0"/>
        <v>-8.9842103657597309E-4</v>
      </c>
      <c r="AL40" s="25"/>
      <c r="AM40" s="32"/>
    </row>
    <row r="41" spans="11:40" x14ac:dyDescent="0.25">
      <c r="AA41" s="24">
        <v>24</v>
      </c>
      <c r="AB41" s="25"/>
      <c r="AC41" s="25"/>
      <c r="AD41" s="25">
        <v>-1.5939130904607905E-3</v>
      </c>
      <c r="AE41" s="25">
        <v>7.3099898361603591E-2</v>
      </c>
      <c r="AF41" s="25"/>
      <c r="AG41" s="25"/>
      <c r="AH41" s="25">
        <v>-1.0728747459886997E-2</v>
      </c>
      <c r="AI41" s="25">
        <v>4.1282422707423447E-4</v>
      </c>
      <c r="AJ41" s="25"/>
      <c r="AK41" s="25">
        <f>(AD41-AD40)/($AA41-$AA40)</f>
        <v>-9.1856159629852448E-4</v>
      </c>
      <c r="AL41" s="25"/>
      <c r="AM41" s="32"/>
    </row>
    <row r="42" spans="11:40" x14ac:dyDescent="0.25">
      <c r="AA42" s="24">
        <v>25</v>
      </c>
      <c r="AB42" s="25"/>
      <c r="AC42" s="25"/>
      <c r="AD42" s="25"/>
      <c r="AE42" s="25"/>
      <c r="AF42" s="25"/>
      <c r="AG42" s="25"/>
      <c r="AH42" s="25"/>
      <c r="AI42" s="25">
        <v>3.8683672775656535E-4</v>
      </c>
      <c r="AJ42" s="25"/>
      <c r="AK42" s="25"/>
      <c r="AL42" s="25"/>
      <c r="AM42" s="32"/>
    </row>
    <row r="43" spans="11:40" x14ac:dyDescent="0.25">
      <c r="AA43" s="24">
        <v>26</v>
      </c>
      <c r="AB43" s="25"/>
      <c r="AC43" s="25"/>
      <c r="AD43" s="25"/>
      <c r="AE43" s="25"/>
      <c r="AF43" s="25"/>
      <c r="AG43" s="25"/>
      <c r="AH43" s="25"/>
      <c r="AI43" s="25"/>
      <c r="AJ43" s="25"/>
      <c r="AK43" s="25"/>
      <c r="AL43" s="25"/>
      <c r="AM43" s="32"/>
    </row>
    <row r="44" spans="11:40" x14ac:dyDescent="0.25">
      <c r="AA44" s="24">
        <v>27</v>
      </c>
      <c r="AB44" s="25"/>
      <c r="AC44" s="25"/>
      <c r="AD44" s="25"/>
      <c r="AE44" s="25"/>
      <c r="AF44" s="25"/>
      <c r="AG44" s="25"/>
      <c r="AH44" s="25"/>
      <c r="AI44" s="25"/>
      <c r="AJ44" s="25"/>
      <c r="AK44" s="25"/>
      <c r="AL44" s="25"/>
      <c r="AM44" s="32"/>
    </row>
    <row r="45" spans="11:40" x14ac:dyDescent="0.25">
      <c r="AA45" s="24">
        <v>28</v>
      </c>
      <c r="AB45" s="25"/>
      <c r="AC45" s="25"/>
      <c r="AD45" s="25"/>
      <c r="AE45" s="25"/>
      <c r="AF45" s="25"/>
      <c r="AG45" s="25"/>
      <c r="AH45" s="25"/>
      <c r="AI45" s="25"/>
      <c r="AJ45" s="25"/>
      <c r="AK45" s="25"/>
      <c r="AL45" s="25"/>
      <c r="AM45" s="32"/>
    </row>
    <row r="46" spans="11:40" x14ac:dyDescent="0.25">
      <c r="AA46" s="24">
        <v>29</v>
      </c>
      <c r="AB46" s="25"/>
      <c r="AC46" s="25"/>
      <c r="AD46" s="25"/>
      <c r="AE46" s="25"/>
      <c r="AF46" s="25"/>
      <c r="AG46" s="25"/>
      <c r="AH46" s="25"/>
      <c r="AI46" s="25"/>
      <c r="AJ46" s="25"/>
      <c r="AK46" s="25"/>
      <c r="AL46" s="25"/>
      <c r="AM46" s="32"/>
    </row>
    <row r="47" spans="11:40" ht="13.8" thickBot="1" x14ac:dyDescent="0.3">
      <c r="AA47" s="26">
        <v>30</v>
      </c>
      <c r="AB47" s="27"/>
      <c r="AC47" s="27"/>
      <c r="AD47" s="27"/>
      <c r="AE47" s="27"/>
      <c r="AF47" s="27"/>
      <c r="AG47" s="27"/>
      <c r="AH47" s="27"/>
      <c r="AI47" s="27"/>
      <c r="AJ47" s="27"/>
      <c r="AK47" s="27"/>
      <c r="AL47" s="27"/>
      <c r="AM47" s="33"/>
    </row>
    <row r="48" spans="11:40" ht="13.5" customHeight="1" thickBot="1" x14ac:dyDescent="0.3">
      <c r="Z48" s="28" t="s">
        <v>33</v>
      </c>
      <c r="AA48" s="22">
        <v>-15</v>
      </c>
      <c r="AB48" s="23"/>
      <c r="AC48" s="23"/>
      <c r="AD48" s="23"/>
      <c r="AE48" s="23"/>
      <c r="AF48" s="23"/>
      <c r="AG48" s="23"/>
      <c r="AH48" s="23"/>
      <c r="AI48" s="23"/>
      <c r="AJ48" s="23"/>
      <c r="AK48" s="23"/>
      <c r="AL48" s="23"/>
      <c r="AM48" s="31"/>
      <c r="AN48" s="306" t="s">
        <v>43</v>
      </c>
    </row>
    <row r="49" spans="27:40" x14ac:dyDescent="0.25">
      <c r="AA49" s="24">
        <v>-14</v>
      </c>
      <c r="AB49" s="25"/>
      <c r="AC49" s="25"/>
      <c r="AD49" s="25"/>
      <c r="AE49" s="25"/>
      <c r="AF49" s="25"/>
      <c r="AG49" s="25"/>
      <c r="AH49" s="25"/>
      <c r="AI49" s="25"/>
      <c r="AJ49" s="25"/>
      <c r="AK49" s="25"/>
      <c r="AL49" s="25"/>
      <c r="AM49" s="32"/>
      <c r="AN49" s="307"/>
    </row>
    <row r="50" spans="27:40" x14ac:dyDescent="0.25">
      <c r="AA50" s="24">
        <v>-13</v>
      </c>
      <c r="AB50" s="25"/>
      <c r="AC50" s="25"/>
      <c r="AD50" s="25"/>
      <c r="AE50" s="25"/>
      <c r="AF50" s="25"/>
      <c r="AG50" s="25"/>
      <c r="AH50" s="25"/>
      <c r="AI50" s="25"/>
      <c r="AJ50" s="25"/>
      <c r="AK50" s="25"/>
      <c r="AL50" s="25"/>
      <c r="AM50" s="32"/>
      <c r="AN50" s="308"/>
    </row>
    <row r="51" spans="27:40" x14ac:dyDescent="0.25">
      <c r="AA51" s="24">
        <v>-12</v>
      </c>
      <c r="AB51" s="25"/>
      <c r="AC51" s="25"/>
      <c r="AD51" s="25"/>
      <c r="AE51" s="25"/>
      <c r="AF51" s="25"/>
      <c r="AG51" s="25"/>
      <c r="AH51" s="25"/>
      <c r="AI51" s="25"/>
      <c r="AJ51" s="25"/>
      <c r="AK51" s="25"/>
      <c r="AL51" s="25"/>
      <c r="AM51" s="32"/>
    </row>
    <row r="52" spans="27:40" x14ac:dyDescent="0.25">
      <c r="AA52" s="24">
        <v>-11</v>
      </c>
      <c r="AB52" s="25"/>
      <c r="AC52" s="25"/>
      <c r="AD52" s="25"/>
      <c r="AE52" s="25"/>
      <c r="AF52" s="25"/>
      <c r="AG52" s="25"/>
      <c r="AH52" s="25"/>
      <c r="AI52" s="25"/>
      <c r="AJ52" s="25"/>
      <c r="AK52" s="25"/>
      <c r="AL52" s="25"/>
      <c r="AM52" s="32"/>
    </row>
    <row r="53" spans="27:40" x14ac:dyDescent="0.25">
      <c r="AA53" s="24">
        <v>-10</v>
      </c>
      <c r="AB53" s="25"/>
      <c r="AC53" s="25"/>
      <c r="AD53" s="25"/>
      <c r="AE53" s="25"/>
      <c r="AF53" s="25"/>
      <c r="AG53" s="25"/>
      <c r="AH53" s="25"/>
      <c r="AI53" s="25"/>
      <c r="AJ53" s="25"/>
      <c r="AK53" s="25"/>
      <c r="AL53" s="25"/>
      <c r="AM53" s="32"/>
    </row>
    <row r="54" spans="27:40" x14ac:dyDescent="0.25">
      <c r="AA54" s="24">
        <v>-9</v>
      </c>
      <c r="AB54" s="25"/>
      <c r="AC54" s="25"/>
      <c r="AD54" s="25"/>
      <c r="AE54" s="25"/>
      <c r="AF54" s="25"/>
      <c r="AG54" s="25"/>
      <c r="AH54" s="25"/>
      <c r="AI54" s="25"/>
      <c r="AJ54" s="25"/>
      <c r="AK54" s="25"/>
      <c r="AL54" s="25"/>
      <c r="AM54" s="32"/>
    </row>
    <row r="55" spans="27:40" x14ac:dyDescent="0.25">
      <c r="AA55" s="24">
        <v>-8</v>
      </c>
      <c r="AB55" s="25"/>
      <c r="AC55" s="25"/>
      <c r="AD55" s="25"/>
      <c r="AE55" s="25"/>
      <c r="AF55" s="25"/>
      <c r="AG55" s="25"/>
      <c r="AH55" s="25"/>
      <c r="AI55" s="25"/>
      <c r="AJ55" s="25"/>
      <c r="AK55" s="25"/>
      <c r="AL55" s="25"/>
      <c r="AM55" s="32"/>
    </row>
    <row r="56" spans="27:40" x14ac:dyDescent="0.25">
      <c r="AA56" s="24">
        <v>-7</v>
      </c>
      <c r="AB56" s="25"/>
      <c r="AC56" s="25"/>
      <c r="AD56" s="25"/>
      <c r="AE56" s="25"/>
      <c r="AF56" s="25"/>
      <c r="AG56" s="25"/>
      <c r="AH56" s="25"/>
      <c r="AI56" s="25"/>
      <c r="AJ56" s="25"/>
      <c r="AK56" s="25"/>
      <c r="AL56" s="25"/>
      <c r="AM56" s="32"/>
    </row>
    <row r="57" spans="27:40" x14ac:dyDescent="0.25">
      <c r="AA57" s="24">
        <v>-6</v>
      </c>
      <c r="AB57" s="25"/>
      <c r="AC57" s="25"/>
      <c r="AD57" s="25"/>
      <c r="AE57" s="25"/>
      <c r="AF57" s="25"/>
      <c r="AG57" s="25"/>
      <c r="AH57" s="25"/>
      <c r="AI57" s="25"/>
      <c r="AJ57" s="25"/>
      <c r="AK57" s="25"/>
      <c r="AL57" s="25"/>
      <c r="AM57" s="32"/>
    </row>
    <row r="58" spans="27:40" x14ac:dyDescent="0.25">
      <c r="AA58" s="24">
        <v>-5</v>
      </c>
      <c r="AB58" s="25"/>
      <c r="AC58" s="25"/>
      <c r="AD58" s="25"/>
      <c r="AE58" s="25"/>
      <c r="AF58" s="25"/>
      <c r="AG58" s="25"/>
      <c r="AH58" s="25"/>
      <c r="AI58" s="25"/>
      <c r="AJ58" s="25"/>
      <c r="AK58" s="25"/>
      <c r="AL58" s="25"/>
      <c r="AM58" s="32"/>
    </row>
    <row r="59" spans="27:40" x14ac:dyDescent="0.25">
      <c r="AA59" s="24">
        <v>-4</v>
      </c>
      <c r="AB59" s="25"/>
      <c r="AC59" s="25"/>
      <c r="AD59" s="25"/>
      <c r="AE59" s="25"/>
      <c r="AF59" s="25"/>
      <c r="AG59" s="25"/>
      <c r="AH59" s="25"/>
      <c r="AI59" s="25"/>
      <c r="AJ59" s="25"/>
      <c r="AK59" s="25"/>
      <c r="AL59" s="25"/>
      <c r="AM59" s="32"/>
    </row>
    <row r="60" spans="27:40" x14ac:dyDescent="0.25">
      <c r="AA60" s="24">
        <v>-3</v>
      </c>
      <c r="AB60" s="25"/>
      <c r="AC60" s="25"/>
      <c r="AD60" s="25"/>
      <c r="AE60" s="25"/>
      <c r="AF60" s="25"/>
      <c r="AG60" s="25"/>
      <c r="AH60" s="25"/>
      <c r="AI60" s="25"/>
      <c r="AJ60" s="25"/>
      <c r="AK60" s="25"/>
      <c r="AL60" s="25"/>
      <c r="AM60" s="32"/>
    </row>
    <row r="61" spans="27:40" x14ac:dyDescent="0.25">
      <c r="AA61" s="24">
        <v>-2</v>
      </c>
      <c r="AB61" s="25"/>
      <c r="AC61" s="25"/>
      <c r="AD61" s="25"/>
      <c r="AE61" s="25"/>
      <c r="AF61" s="25"/>
      <c r="AG61" s="25"/>
      <c r="AH61" s="25"/>
      <c r="AI61" s="25"/>
      <c r="AJ61" s="25"/>
      <c r="AK61" s="25"/>
      <c r="AL61" s="25"/>
      <c r="AM61" s="32"/>
    </row>
    <row r="62" spans="27:40" x14ac:dyDescent="0.25">
      <c r="AA62" s="24">
        <v>-1</v>
      </c>
      <c r="AB62" s="25"/>
      <c r="AC62" s="25"/>
      <c r="AD62" s="25"/>
      <c r="AE62" s="25"/>
      <c r="AF62" s="25"/>
      <c r="AG62" s="25"/>
      <c r="AH62" s="25"/>
      <c r="AI62" s="25"/>
      <c r="AJ62" s="25"/>
      <c r="AK62" s="25"/>
      <c r="AL62" s="25"/>
      <c r="AM62" s="32"/>
    </row>
    <row r="63" spans="27:40" x14ac:dyDescent="0.25">
      <c r="AA63" s="24">
        <v>0</v>
      </c>
      <c r="AB63" s="25">
        <v>1.023330639626912E-3</v>
      </c>
      <c r="AC63" s="25"/>
      <c r="AD63" s="25"/>
      <c r="AE63" s="25"/>
      <c r="AF63" s="25"/>
      <c r="AG63" s="25"/>
      <c r="AH63" s="25"/>
      <c r="AI63" s="25"/>
      <c r="AJ63" s="25"/>
      <c r="AK63" s="25"/>
      <c r="AL63" s="25">
        <f>(AB64-AB63)/($AA64-$AA63)</f>
        <v>7.1392464212596665E-2</v>
      </c>
      <c r="AM63" s="32"/>
    </row>
    <row r="64" spans="27:40" x14ac:dyDescent="0.25">
      <c r="AA64" s="24">
        <v>1</v>
      </c>
      <c r="AB64" s="25">
        <v>7.2415794852223575E-2</v>
      </c>
      <c r="AC64" s="25"/>
      <c r="AD64" s="25"/>
      <c r="AE64" s="25"/>
      <c r="AF64" s="25"/>
      <c r="AG64" s="25"/>
      <c r="AH64" s="25"/>
      <c r="AI64" s="25"/>
      <c r="AJ64" s="25"/>
      <c r="AK64" s="25"/>
      <c r="AL64" s="25">
        <f t="shared" ref="AL64:AL80" si="2">(AB65-AB63)/($AA65-$AA63)</f>
        <v>6.9927200955480273E-2</v>
      </c>
      <c r="AM64" s="32"/>
    </row>
    <row r="65" spans="27:39" x14ac:dyDescent="0.25">
      <c r="AA65" s="24">
        <v>2</v>
      </c>
      <c r="AB65" s="25">
        <v>0.14087773255058747</v>
      </c>
      <c r="AC65" s="25"/>
      <c r="AD65" s="25"/>
      <c r="AE65" s="25"/>
      <c r="AF65" s="25"/>
      <c r="AG65" s="25"/>
      <c r="AH65" s="25"/>
      <c r="AI65" s="25"/>
      <c r="AJ65" s="25"/>
      <c r="AK65" s="25"/>
      <c r="AL65" s="25">
        <f t="shared" si="2"/>
        <v>6.9265422810367294E-2</v>
      </c>
      <c r="AM65" s="32"/>
    </row>
    <row r="66" spans="27:39" x14ac:dyDescent="0.25">
      <c r="AA66" s="24">
        <v>3</v>
      </c>
      <c r="AB66" s="25">
        <v>0.21094664047295816</v>
      </c>
      <c r="AC66" s="25"/>
      <c r="AD66" s="25"/>
      <c r="AE66" s="25"/>
      <c r="AF66" s="25"/>
      <c r="AG66" s="25"/>
      <c r="AH66" s="25"/>
      <c r="AI66" s="25"/>
      <c r="AJ66" s="25"/>
      <c r="AK66" s="25"/>
      <c r="AL66" s="25">
        <f t="shared" si="2"/>
        <v>6.9924399002677232E-2</v>
      </c>
      <c r="AM66" s="32"/>
    </row>
    <row r="67" spans="27:39" x14ac:dyDescent="0.25">
      <c r="AA67" s="24">
        <v>4</v>
      </c>
      <c r="AB67" s="25">
        <v>0.28072653055594193</v>
      </c>
      <c r="AC67" s="25"/>
      <c r="AD67" s="25"/>
      <c r="AE67" s="25"/>
      <c r="AF67" s="25"/>
      <c r="AG67" s="25"/>
      <c r="AH67" s="25"/>
      <c r="AI67" s="25"/>
      <c r="AJ67" s="25"/>
      <c r="AK67" s="25"/>
      <c r="AL67" s="25">
        <f t="shared" si="2"/>
        <v>6.9852424738110805E-2</v>
      </c>
      <c r="AM67" s="32"/>
    </row>
    <row r="68" spans="27:39" x14ac:dyDescent="0.25">
      <c r="AA68" s="24">
        <v>5</v>
      </c>
      <c r="AB68" s="25">
        <v>0.35065148994917977</v>
      </c>
      <c r="AC68" s="25"/>
      <c r="AD68" s="25"/>
      <c r="AE68" s="25"/>
      <c r="AF68" s="25"/>
      <c r="AG68" s="25"/>
      <c r="AH68" s="25"/>
      <c r="AI68" s="25"/>
      <c r="AJ68" s="25"/>
      <c r="AK68" s="25"/>
      <c r="AL68" s="25">
        <f t="shared" si="2"/>
        <v>7.0217339575988386E-2</v>
      </c>
      <c r="AM68" s="32"/>
    </row>
    <row r="69" spans="27:39" x14ac:dyDescent="0.25">
      <c r="AA69" s="24">
        <v>6</v>
      </c>
      <c r="AB69" s="25">
        <v>0.4211612097079187</v>
      </c>
      <c r="AC69" s="25"/>
      <c r="AD69" s="25"/>
      <c r="AE69" s="25"/>
      <c r="AF69" s="25"/>
      <c r="AG69" s="25"/>
      <c r="AH69" s="25"/>
      <c r="AI69" s="25"/>
      <c r="AJ69" s="25"/>
      <c r="AK69" s="25"/>
      <c r="AL69" s="25">
        <f t="shared" si="2"/>
        <v>7.212005232610938E-2</v>
      </c>
      <c r="AM69" s="32"/>
    </row>
    <row r="70" spans="27:39" x14ac:dyDescent="0.25">
      <c r="AA70" s="24">
        <v>7</v>
      </c>
      <c r="AB70" s="25">
        <v>0.49489159460139853</v>
      </c>
      <c r="AC70" s="25"/>
      <c r="AD70" s="25"/>
      <c r="AE70" s="25"/>
      <c r="AF70" s="25"/>
      <c r="AG70" s="25"/>
      <c r="AH70" s="25"/>
      <c r="AI70" s="25"/>
      <c r="AJ70" s="25"/>
      <c r="AK70" s="25"/>
      <c r="AL70" s="25">
        <f t="shared" si="2"/>
        <v>6.9709596990099154E-2</v>
      </c>
      <c r="AM70" s="32"/>
    </row>
    <row r="71" spans="27:39" x14ac:dyDescent="0.25">
      <c r="AA71" s="24">
        <v>8</v>
      </c>
      <c r="AB71" s="25">
        <v>0.56058040368811701</v>
      </c>
      <c r="AC71" s="25"/>
      <c r="AD71" s="25"/>
      <c r="AE71" s="25"/>
      <c r="AF71" s="25"/>
      <c r="AG71" s="25"/>
      <c r="AH71" s="25"/>
      <c r="AI71" s="25"/>
      <c r="AJ71" s="25"/>
      <c r="AK71" s="25"/>
      <c r="AL71" s="25">
        <f t="shared" si="2"/>
        <v>6.3272189454541716E-2</v>
      </c>
      <c r="AM71" s="32"/>
    </row>
    <row r="72" spans="27:39" x14ac:dyDescent="0.25">
      <c r="AA72" s="24">
        <v>9</v>
      </c>
      <c r="AB72" s="25">
        <v>0.62143597351048196</v>
      </c>
      <c r="AC72" s="25"/>
      <c r="AD72" s="25"/>
      <c r="AE72" s="25"/>
      <c r="AF72" s="25"/>
      <c r="AG72" s="25"/>
      <c r="AH72" s="25"/>
      <c r="AI72" s="25"/>
      <c r="AJ72" s="25"/>
      <c r="AK72" s="25"/>
      <c r="AL72" s="25">
        <f t="shared" si="2"/>
        <v>5.9470686688224028E-2</v>
      </c>
      <c r="AM72" s="32"/>
    </row>
    <row r="73" spans="27:39" x14ac:dyDescent="0.25">
      <c r="AA73" s="24">
        <v>10</v>
      </c>
      <c r="AB73" s="25">
        <v>0.67952177706456507</v>
      </c>
      <c r="AC73" s="25"/>
      <c r="AD73" s="25"/>
      <c r="AE73" s="25"/>
      <c r="AF73" s="25"/>
      <c r="AG73" s="25"/>
      <c r="AH73" s="25"/>
      <c r="AI73" s="25"/>
      <c r="AJ73" s="25"/>
      <c r="AK73" s="25"/>
      <c r="AL73" s="25">
        <f t="shared" si="2"/>
        <v>5.3403797896150129E-2</v>
      </c>
      <c r="AM73" s="32"/>
    </row>
    <row r="74" spans="27:39" x14ac:dyDescent="0.25">
      <c r="AA74" s="24">
        <v>11</v>
      </c>
      <c r="AB74" s="25">
        <v>0.72824356930278222</v>
      </c>
      <c r="AC74" s="25"/>
      <c r="AD74" s="25"/>
      <c r="AE74" s="25"/>
      <c r="AF74" s="25"/>
      <c r="AG74" s="25"/>
      <c r="AH74" s="25"/>
      <c r="AI74" s="25"/>
      <c r="AJ74" s="25"/>
      <c r="AK74" s="25"/>
      <c r="AL74" s="25">
        <f t="shared" si="2"/>
        <v>4.3754691474821528E-2</v>
      </c>
      <c r="AM74" s="32"/>
    </row>
    <row r="75" spans="27:39" x14ac:dyDescent="0.25">
      <c r="AA75" s="24">
        <v>12</v>
      </c>
      <c r="AB75" s="25">
        <v>0.76703116001420812</v>
      </c>
      <c r="AC75" s="25"/>
      <c r="AD75" s="25"/>
      <c r="AE75" s="25"/>
      <c r="AF75" s="25"/>
      <c r="AG75" s="25"/>
      <c r="AH75" s="25"/>
      <c r="AI75" s="25"/>
      <c r="AJ75" s="25"/>
      <c r="AK75" s="25"/>
      <c r="AL75" s="25">
        <f t="shared" si="2"/>
        <v>3.4910751337178081E-2</v>
      </c>
      <c r="AM75" s="32"/>
    </row>
    <row r="76" spans="27:39" x14ac:dyDescent="0.25">
      <c r="AA76" s="24">
        <v>13</v>
      </c>
      <c r="AB76" s="25">
        <v>0.79806507197713838</v>
      </c>
      <c r="AC76" s="25"/>
      <c r="AD76" s="25"/>
      <c r="AE76" s="25"/>
      <c r="AF76" s="25"/>
      <c r="AG76" s="25"/>
      <c r="AH76" s="25"/>
      <c r="AI76" s="25"/>
      <c r="AJ76" s="25"/>
      <c r="AK76" s="25"/>
      <c r="AL76" s="25">
        <f t="shared" si="2"/>
        <v>2.8550361581232475E-2</v>
      </c>
      <c r="AM76" s="32"/>
    </row>
    <row r="77" spans="27:39" x14ac:dyDescent="0.25">
      <c r="AA77" s="24">
        <v>14</v>
      </c>
      <c r="AB77" s="25">
        <v>0.82413188317667307</v>
      </c>
      <c r="AC77" s="25"/>
      <c r="AD77" s="25"/>
      <c r="AE77" s="25"/>
      <c r="AF77" s="25"/>
      <c r="AG77" s="25"/>
      <c r="AH77" s="25"/>
      <c r="AI77" s="25"/>
      <c r="AJ77" s="25"/>
      <c r="AK77" s="25"/>
      <c r="AL77" s="25">
        <f t="shared" si="2"/>
        <v>2.3944813312350766E-2</v>
      </c>
      <c r="AM77" s="32"/>
    </row>
    <row r="78" spans="27:39" x14ac:dyDescent="0.25">
      <c r="AA78" s="24">
        <v>15</v>
      </c>
      <c r="AB78" s="25">
        <v>0.84595469860183992</v>
      </c>
      <c r="AC78" s="25"/>
      <c r="AD78" s="25"/>
      <c r="AE78" s="25"/>
      <c r="AF78" s="25"/>
      <c r="AG78" s="25"/>
      <c r="AH78" s="25"/>
      <c r="AI78" s="25"/>
      <c r="AJ78" s="25"/>
      <c r="AK78" s="25"/>
      <c r="AL78" s="25">
        <f t="shared" si="2"/>
        <v>1.9558550180531986E-2</v>
      </c>
      <c r="AM78" s="32"/>
    </row>
    <row r="79" spans="27:39" x14ac:dyDescent="0.25">
      <c r="AA79" s="24">
        <v>16</v>
      </c>
      <c r="AB79" s="25">
        <v>0.86324898353773705</v>
      </c>
      <c r="AC79" s="25"/>
      <c r="AD79" s="25"/>
      <c r="AE79" s="25"/>
      <c r="AF79" s="25"/>
      <c r="AG79" s="25"/>
      <c r="AH79" s="25"/>
      <c r="AI79" s="25"/>
      <c r="AJ79" s="25"/>
      <c r="AK79" s="25"/>
      <c r="AL79" s="25">
        <f t="shared" si="2"/>
        <v>1.4882708818765689E-2</v>
      </c>
      <c r="AM79" s="32"/>
    </row>
    <row r="80" spans="27:39" x14ac:dyDescent="0.25">
      <c r="AA80" s="24">
        <v>17</v>
      </c>
      <c r="AB80" s="25">
        <v>0.87572011623937129</v>
      </c>
      <c r="AC80" s="25"/>
      <c r="AD80" s="25"/>
      <c r="AE80" s="25"/>
      <c r="AF80" s="25"/>
      <c r="AG80" s="25"/>
      <c r="AH80" s="25"/>
      <c r="AI80" s="25"/>
      <c r="AJ80" s="25"/>
      <c r="AK80" s="25"/>
      <c r="AL80" s="25">
        <f t="shared" si="2"/>
        <v>9.6879170598979658E-3</v>
      </c>
      <c r="AM80" s="32"/>
    </row>
    <row r="81" spans="26:40" x14ac:dyDescent="0.25">
      <c r="AA81" s="24">
        <v>18</v>
      </c>
      <c r="AB81" s="25">
        <v>0.88262481765753298</v>
      </c>
      <c r="AC81" s="25"/>
      <c r="AD81" s="25"/>
      <c r="AE81" s="25"/>
      <c r="AF81" s="25"/>
      <c r="AG81" s="25"/>
      <c r="AH81" s="25"/>
      <c r="AI81" s="25"/>
      <c r="AJ81" s="25"/>
      <c r="AK81" s="25"/>
      <c r="AL81" s="25">
        <f>(AB81-AB80)/($AA81-$AA80)</f>
        <v>6.904701418161685E-3</v>
      </c>
      <c r="AM81" s="32"/>
    </row>
    <row r="82" spans="26:40" x14ac:dyDescent="0.25">
      <c r="AA82" s="24">
        <v>19</v>
      </c>
      <c r="AB82" s="25"/>
      <c r="AC82" s="25"/>
      <c r="AD82" s="25"/>
      <c r="AE82" s="25"/>
      <c r="AF82" s="25"/>
      <c r="AG82" s="25"/>
      <c r="AH82" s="25"/>
      <c r="AI82" s="25"/>
      <c r="AJ82" s="25"/>
      <c r="AK82" s="25"/>
      <c r="AL82" s="25"/>
      <c r="AM82" s="32"/>
    </row>
    <row r="83" spans="26:40" x14ac:dyDescent="0.25">
      <c r="AA83" s="24">
        <v>20</v>
      </c>
      <c r="AB83" s="25"/>
      <c r="AC83" s="25"/>
      <c r="AD83" s="25"/>
      <c r="AE83" s="25"/>
      <c r="AF83" s="25"/>
      <c r="AG83" s="25"/>
      <c r="AH83" s="25"/>
      <c r="AI83" s="25"/>
      <c r="AJ83" s="25"/>
      <c r="AK83" s="25"/>
      <c r="AL83" s="25"/>
      <c r="AM83" s="32"/>
    </row>
    <row r="84" spans="26:40" x14ac:dyDescent="0.25">
      <c r="AA84" s="24">
        <v>21</v>
      </c>
      <c r="AB84" s="25"/>
      <c r="AC84" s="25"/>
      <c r="AD84" s="25"/>
      <c r="AE84" s="25"/>
      <c r="AF84" s="25"/>
      <c r="AG84" s="25"/>
      <c r="AH84" s="25"/>
      <c r="AI84" s="25"/>
      <c r="AJ84" s="25"/>
      <c r="AK84" s="25"/>
      <c r="AL84" s="25"/>
      <c r="AM84" s="32"/>
    </row>
    <row r="85" spans="26:40" x14ac:dyDescent="0.25">
      <c r="AA85" s="24">
        <v>22</v>
      </c>
      <c r="AB85" s="25"/>
      <c r="AC85" s="25"/>
      <c r="AD85" s="25"/>
      <c r="AE85" s="25"/>
      <c r="AF85" s="25"/>
      <c r="AG85" s="25"/>
      <c r="AH85" s="25"/>
      <c r="AI85" s="25"/>
      <c r="AJ85" s="25"/>
      <c r="AK85" s="25"/>
      <c r="AL85" s="25"/>
      <c r="AM85" s="32"/>
    </row>
    <row r="86" spans="26:40" x14ac:dyDescent="0.25">
      <c r="AA86" s="24">
        <v>23</v>
      </c>
      <c r="AB86" s="25"/>
      <c r="AC86" s="25"/>
      <c r="AD86" s="25"/>
      <c r="AE86" s="25"/>
      <c r="AF86" s="25"/>
      <c r="AG86" s="25"/>
      <c r="AH86" s="25"/>
      <c r="AI86" s="25"/>
      <c r="AJ86" s="25"/>
      <c r="AK86" s="25"/>
      <c r="AL86" s="25"/>
      <c r="AM86" s="32"/>
    </row>
    <row r="87" spans="26:40" x14ac:dyDescent="0.25">
      <c r="AA87" s="24">
        <v>24</v>
      </c>
      <c r="AB87" s="25"/>
      <c r="AC87" s="25"/>
      <c r="AD87" s="25"/>
      <c r="AE87" s="25"/>
      <c r="AF87" s="25"/>
      <c r="AG87" s="25"/>
      <c r="AH87" s="25"/>
      <c r="AI87" s="25"/>
      <c r="AJ87" s="25"/>
      <c r="AK87" s="25"/>
      <c r="AL87" s="25"/>
      <c r="AM87" s="32"/>
    </row>
    <row r="88" spans="26:40" x14ac:dyDescent="0.25">
      <c r="AA88" s="24">
        <v>25</v>
      </c>
      <c r="AB88" s="25"/>
      <c r="AC88" s="25"/>
      <c r="AD88" s="25"/>
      <c r="AE88" s="25"/>
      <c r="AF88" s="25"/>
      <c r="AG88" s="25"/>
      <c r="AH88" s="25"/>
      <c r="AI88" s="25"/>
      <c r="AJ88" s="25"/>
      <c r="AK88" s="25"/>
      <c r="AL88" s="25"/>
      <c r="AM88" s="32"/>
    </row>
    <row r="89" spans="26:40" x14ac:dyDescent="0.25">
      <c r="AA89" s="24">
        <v>26</v>
      </c>
      <c r="AB89" s="25"/>
      <c r="AC89" s="25"/>
      <c r="AD89" s="25"/>
      <c r="AE89" s="25"/>
      <c r="AF89" s="25"/>
      <c r="AG89" s="25"/>
      <c r="AH89" s="25"/>
      <c r="AI89" s="25"/>
      <c r="AJ89" s="25"/>
      <c r="AK89" s="25"/>
      <c r="AL89" s="25"/>
      <c r="AM89" s="32"/>
    </row>
    <row r="90" spans="26:40" x14ac:dyDescent="0.25">
      <c r="AA90" s="24">
        <v>27</v>
      </c>
      <c r="AB90" s="25"/>
      <c r="AC90" s="25"/>
      <c r="AD90" s="25"/>
      <c r="AE90" s="25"/>
      <c r="AF90" s="25"/>
      <c r="AG90" s="25"/>
      <c r="AH90" s="25"/>
      <c r="AI90" s="25"/>
      <c r="AJ90" s="25"/>
      <c r="AK90" s="25"/>
      <c r="AL90" s="25"/>
      <c r="AM90" s="32"/>
    </row>
    <row r="91" spans="26:40" x14ac:dyDescent="0.25">
      <c r="AA91" s="24">
        <v>28</v>
      </c>
      <c r="AB91" s="25"/>
      <c r="AC91" s="25"/>
      <c r="AD91" s="25"/>
      <c r="AE91" s="25"/>
      <c r="AF91" s="25"/>
      <c r="AG91" s="25"/>
      <c r="AH91" s="25"/>
      <c r="AI91" s="25"/>
      <c r="AJ91" s="25"/>
      <c r="AK91" s="25"/>
      <c r="AL91" s="25"/>
      <c r="AM91" s="32"/>
    </row>
    <row r="92" spans="26:40" x14ac:dyDescent="0.25">
      <c r="AA92" s="24">
        <v>29</v>
      </c>
      <c r="AB92" s="25"/>
      <c r="AC92" s="25"/>
      <c r="AD92" s="25"/>
      <c r="AE92" s="25"/>
      <c r="AF92" s="25"/>
      <c r="AG92" s="25"/>
      <c r="AH92" s="25"/>
      <c r="AI92" s="25"/>
      <c r="AJ92" s="25"/>
      <c r="AK92" s="25"/>
      <c r="AL92" s="25"/>
      <c r="AM92" s="32"/>
    </row>
    <row r="93" spans="26:40" ht="13.8" thickBot="1" x14ac:dyDescent="0.3">
      <c r="AA93" s="26">
        <v>30</v>
      </c>
      <c r="AB93" s="27"/>
      <c r="AC93" s="27"/>
      <c r="AD93" s="27"/>
      <c r="AE93" s="27"/>
      <c r="AF93" s="27"/>
      <c r="AG93" s="27"/>
      <c r="AH93" s="27"/>
      <c r="AI93" s="27"/>
      <c r="AJ93" s="27"/>
      <c r="AK93" s="27"/>
      <c r="AL93" s="27"/>
      <c r="AM93" s="33"/>
    </row>
    <row r="94" spans="26:40" ht="13.8" thickBot="1" x14ac:dyDescent="0.3">
      <c r="Z94" s="65" t="s">
        <v>71</v>
      </c>
      <c r="AA94" s="22">
        <v>-15</v>
      </c>
      <c r="AB94" s="23"/>
      <c r="AC94" s="23"/>
      <c r="AD94" s="23"/>
      <c r="AE94" s="23"/>
      <c r="AF94" s="23"/>
      <c r="AG94" s="23"/>
      <c r="AH94" s="23"/>
      <c r="AI94" s="23"/>
      <c r="AJ94" s="23"/>
      <c r="AK94" s="23"/>
      <c r="AL94" s="23"/>
      <c r="AM94" s="31"/>
      <c r="AN94" s="301" t="s">
        <v>68</v>
      </c>
    </row>
    <row r="95" spans="26:40" x14ac:dyDescent="0.25">
      <c r="AA95" s="24">
        <v>-14</v>
      </c>
      <c r="AB95" s="25"/>
      <c r="AC95" s="25"/>
      <c r="AD95" s="25"/>
      <c r="AE95" s="25"/>
      <c r="AF95" s="25"/>
      <c r="AG95" s="25"/>
      <c r="AH95" s="25"/>
      <c r="AI95" s="25"/>
      <c r="AJ95" s="25"/>
      <c r="AK95" s="25"/>
      <c r="AL95" s="25"/>
      <c r="AM95" s="32"/>
      <c r="AN95" s="276"/>
    </row>
    <row r="96" spans="26:40" x14ac:dyDescent="0.25">
      <c r="AA96" s="24">
        <v>-13</v>
      </c>
      <c r="AB96" s="25"/>
      <c r="AC96" s="25"/>
      <c r="AD96" s="25"/>
      <c r="AE96" s="25"/>
      <c r="AF96" s="25"/>
      <c r="AG96" s="25"/>
      <c r="AH96" s="25"/>
      <c r="AI96" s="25"/>
      <c r="AJ96" s="25"/>
      <c r="AK96" s="25"/>
      <c r="AL96" s="25"/>
      <c r="AM96" s="66"/>
      <c r="AN96" s="302" t="s">
        <v>69</v>
      </c>
    </row>
    <row r="97" spans="27:40" x14ac:dyDescent="0.25">
      <c r="AA97" s="24">
        <v>-12</v>
      </c>
      <c r="AB97" s="25"/>
      <c r="AC97" s="25"/>
      <c r="AD97" s="25"/>
      <c r="AE97" s="25"/>
      <c r="AF97" s="25"/>
      <c r="AG97" s="25"/>
      <c r="AH97" s="25"/>
      <c r="AI97" s="25"/>
      <c r="AJ97" s="25"/>
      <c r="AK97" s="25"/>
      <c r="AL97" s="25"/>
      <c r="AM97" s="66"/>
      <c r="AN97" s="305"/>
    </row>
    <row r="98" spans="27:40" x14ac:dyDescent="0.25">
      <c r="AA98" s="24">
        <v>-11</v>
      </c>
      <c r="AB98" s="25"/>
      <c r="AC98" s="25"/>
      <c r="AD98" s="25"/>
      <c r="AE98" s="25"/>
      <c r="AF98" s="25"/>
      <c r="AG98" s="25"/>
      <c r="AH98" s="25"/>
      <c r="AI98" s="25"/>
      <c r="AJ98" s="25"/>
      <c r="AK98" s="25"/>
      <c r="AL98" s="25"/>
      <c r="AM98" s="66"/>
      <c r="AN98" s="303"/>
    </row>
    <row r="99" spans="27:40" x14ac:dyDescent="0.25">
      <c r="AA99" s="24">
        <v>-10</v>
      </c>
      <c r="AB99" s="25"/>
      <c r="AC99" s="25"/>
      <c r="AD99" s="25"/>
      <c r="AE99" s="25"/>
      <c r="AF99" s="25"/>
      <c r="AG99" s="25"/>
      <c r="AH99" s="25"/>
      <c r="AI99" s="25"/>
      <c r="AJ99" s="25"/>
      <c r="AK99" s="25"/>
      <c r="AL99" s="25"/>
      <c r="AM99" s="32"/>
    </row>
    <row r="100" spans="27:40" x14ac:dyDescent="0.25">
      <c r="AA100" s="24">
        <v>-9</v>
      </c>
      <c r="AB100" s="25"/>
      <c r="AC100" s="25"/>
      <c r="AD100" s="25"/>
      <c r="AE100" s="25"/>
      <c r="AF100" s="25"/>
      <c r="AG100" s="25"/>
      <c r="AH100" s="25"/>
      <c r="AI100" s="25"/>
      <c r="AJ100" s="25"/>
      <c r="AK100" s="25"/>
      <c r="AL100" s="25"/>
      <c r="AM100" s="32"/>
    </row>
    <row r="101" spans="27:40" ht="13.2" customHeight="1" x14ac:dyDescent="0.25">
      <c r="AA101" s="24">
        <v>-8</v>
      </c>
      <c r="AB101" s="25"/>
      <c r="AC101" s="25"/>
      <c r="AD101" s="25"/>
      <c r="AE101" s="25"/>
      <c r="AF101" s="25"/>
      <c r="AG101" s="25"/>
      <c r="AH101" s="25"/>
      <c r="AI101" s="25"/>
      <c r="AJ101" s="25"/>
      <c r="AK101" s="25"/>
      <c r="AL101" s="25"/>
      <c r="AM101" s="32"/>
      <c r="AN101" s="304"/>
    </row>
    <row r="102" spans="27:40" x14ac:dyDescent="0.25">
      <c r="AA102" s="24">
        <v>-7</v>
      </c>
      <c r="AB102" s="25"/>
      <c r="AC102" s="25"/>
      <c r="AD102" s="25"/>
      <c r="AE102" s="25"/>
      <c r="AF102" s="25"/>
      <c r="AG102" s="25"/>
      <c r="AH102" s="25"/>
      <c r="AI102" s="25"/>
      <c r="AJ102" s="25"/>
      <c r="AK102" s="25"/>
      <c r="AL102" s="25"/>
      <c r="AM102" s="32"/>
      <c r="AN102" s="304"/>
    </row>
    <row r="103" spans="27:40" x14ac:dyDescent="0.25">
      <c r="AA103" s="24">
        <v>-6</v>
      </c>
      <c r="AB103" s="25"/>
      <c r="AC103" s="25"/>
      <c r="AD103" s="25"/>
      <c r="AE103" s="25"/>
      <c r="AF103" s="25"/>
      <c r="AG103" s="25"/>
      <c r="AH103" s="25"/>
      <c r="AI103" s="25"/>
      <c r="AJ103" s="25"/>
      <c r="AK103" s="25"/>
      <c r="AL103" s="25"/>
      <c r="AM103" s="32"/>
      <c r="AN103" s="304"/>
    </row>
    <row r="104" spans="27:40" x14ac:dyDescent="0.25">
      <c r="AA104" s="24">
        <v>-5</v>
      </c>
      <c r="AB104" s="25"/>
      <c r="AC104" s="25"/>
      <c r="AD104" s="25"/>
      <c r="AE104" s="25"/>
      <c r="AF104" s="25"/>
      <c r="AG104" s="25"/>
      <c r="AH104" s="25"/>
      <c r="AI104" s="25"/>
      <c r="AJ104" s="25"/>
      <c r="AK104" s="25"/>
      <c r="AL104" s="25"/>
      <c r="AM104" s="32"/>
    </row>
    <row r="105" spans="27:40" x14ac:dyDescent="0.25">
      <c r="AA105" s="24">
        <v>-4</v>
      </c>
      <c r="AB105" s="25"/>
      <c r="AC105" s="25"/>
      <c r="AD105" s="25"/>
      <c r="AE105" s="25"/>
      <c r="AF105" s="25"/>
      <c r="AG105" s="25"/>
      <c r="AH105" s="25"/>
      <c r="AI105" s="25"/>
      <c r="AJ105" s="25"/>
      <c r="AK105" s="25"/>
      <c r="AL105" s="25"/>
      <c r="AM105" s="32"/>
    </row>
    <row r="106" spans="27:40" x14ac:dyDescent="0.25">
      <c r="AA106" s="24">
        <v>-3</v>
      </c>
      <c r="AB106" s="25"/>
      <c r="AC106" s="25"/>
      <c r="AD106" s="25"/>
      <c r="AE106" s="25"/>
      <c r="AF106" s="25"/>
      <c r="AG106" s="25"/>
      <c r="AH106" s="25"/>
      <c r="AI106" s="25"/>
      <c r="AJ106" s="25"/>
      <c r="AK106" s="25"/>
      <c r="AL106" s="25"/>
      <c r="AM106" s="32"/>
    </row>
    <row r="107" spans="27:40" x14ac:dyDescent="0.25">
      <c r="AA107" s="24">
        <v>-2</v>
      </c>
      <c r="AB107" s="25"/>
      <c r="AC107" s="25"/>
      <c r="AD107" s="25"/>
      <c r="AE107" s="25"/>
      <c r="AF107" s="25"/>
      <c r="AG107" s="25"/>
      <c r="AH107" s="25"/>
      <c r="AI107" s="25"/>
      <c r="AJ107" s="25"/>
      <c r="AK107" s="25"/>
      <c r="AL107" s="25"/>
      <c r="AM107" s="32"/>
    </row>
    <row r="108" spans="27:40" x14ac:dyDescent="0.25">
      <c r="AA108" s="24">
        <v>-1</v>
      </c>
      <c r="AB108" s="25"/>
      <c r="AC108" s="25"/>
      <c r="AD108" s="25"/>
      <c r="AE108" s="25"/>
      <c r="AF108" s="25"/>
      <c r="AG108" s="25"/>
      <c r="AH108" s="25"/>
      <c r="AI108" s="25"/>
      <c r="AJ108" s="25"/>
      <c r="AK108" s="25"/>
      <c r="AL108" s="25"/>
      <c r="AM108" s="32"/>
    </row>
    <row r="109" spans="27:40" x14ac:dyDescent="0.25">
      <c r="AA109" s="24">
        <v>0</v>
      </c>
      <c r="AB109" s="25"/>
      <c r="AC109" s="25"/>
      <c r="AD109" s="25"/>
      <c r="AE109" s="25"/>
      <c r="AF109" s="25"/>
      <c r="AG109" s="25"/>
      <c r="AH109" s="25"/>
      <c r="AI109" s="25"/>
      <c r="AJ109" s="25"/>
      <c r="AK109" s="25"/>
      <c r="AL109" s="25"/>
      <c r="AM109" s="32"/>
    </row>
    <row r="110" spans="27:40" x14ac:dyDescent="0.25">
      <c r="AA110" s="24">
        <v>1</v>
      </c>
      <c r="AB110" s="25">
        <v>6.0372999438256976E-2</v>
      </c>
      <c r="AC110" s="25"/>
      <c r="AD110" s="25">
        <v>-5.8691934826877179E-2</v>
      </c>
      <c r="AE110" s="25"/>
      <c r="AF110" s="25"/>
      <c r="AG110" s="25"/>
      <c r="AH110" s="25"/>
      <c r="AI110" s="25"/>
      <c r="AJ110" s="25"/>
      <c r="AK110" s="25">
        <f>(AD111-AD110)/($AA111-$AA110)</f>
        <v>-1.7723797746147171E-3</v>
      </c>
      <c r="AL110" s="25">
        <f>(AB111-AB110)/($AA111-$AA110)</f>
        <v>4.0878400779810274E-2</v>
      </c>
      <c r="AM110" s="32"/>
    </row>
    <row r="111" spans="27:40" x14ac:dyDescent="0.25">
      <c r="AA111" s="24">
        <v>2</v>
      </c>
      <c r="AB111" s="25">
        <v>0.10125140021806725</v>
      </c>
      <c r="AC111" s="25"/>
      <c r="AD111" s="25">
        <v>-6.0464314601491896E-2</v>
      </c>
      <c r="AE111" s="25"/>
      <c r="AF111" s="25"/>
      <c r="AG111" s="25"/>
      <c r="AH111" s="25"/>
      <c r="AI111" s="25"/>
      <c r="AJ111" s="25"/>
      <c r="AK111" s="25">
        <f t="shared" ref="AK111:AK138" si="3">(AD112-AD110)/($AA112-$AA110)</f>
        <v>-2.0163286708209174E-3</v>
      </c>
      <c r="AL111" s="25">
        <f t="shared" ref="AL111:AL138" si="4">(AB112-AB110)/($AA112-$AA110)</f>
        <v>4.1556227150096381E-2</v>
      </c>
      <c r="AM111" s="32"/>
    </row>
    <row r="112" spans="27:40" x14ac:dyDescent="0.25">
      <c r="AA112" s="24">
        <v>3</v>
      </c>
      <c r="AB112" s="25">
        <v>0.14348545373844973</v>
      </c>
      <c r="AC112" s="25"/>
      <c r="AD112" s="25">
        <v>-6.2724592168519014E-2</v>
      </c>
      <c r="AE112" s="25"/>
      <c r="AF112" s="25"/>
      <c r="AG112" s="25"/>
      <c r="AH112" s="25"/>
      <c r="AI112" s="25"/>
      <c r="AJ112" s="25"/>
      <c r="AK112" s="25">
        <f t="shared" si="3"/>
        <v>-2.0847402072442685E-3</v>
      </c>
      <c r="AL112" s="25">
        <f t="shared" si="4"/>
        <v>4.0137124043909775E-2</v>
      </c>
      <c r="AM112" s="32"/>
    </row>
    <row r="113" spans="27:39" x14ac:dyDescent="0.25">
      <c r="AA113" s="24">
        <v>4</v>
      </c>
      <c r="AB113" s="25">
        <v>0.1815256483058868</v>
      </c>
      <c r="AC113" s="25"/>
      <c r="AD113" s="25">
        <v>-6.4633795015980433E-2</v>
      </c>
      <c r="AE113" s="25"/>
      <c r="AF113" s="25"/>
      <c r="AG113" s="25"/>
      <c r="AH113" s="25"/>
      <c r="AI113" s="25"/>
      <c r="AJ113" s="25"/>
      <c r="AK113" s="25">
        <f t="shared" si="3"/>
        <v>-1.9154057745596823E-3</v>
      </c>
      <c r="AL113" s="25">
        <f t="shared" si="4"/>
        <v>3.8836714479478965E-2</v>
      </c>
      <c r="AM113" s="32"/>
    </row>
    <row r="114" spans="27:39" x14ac:dyDescent="0.25">
      <c r="AA114" s="24">
        <v>5</v>
      </c>
      <c r="AB114" s="25">
        <v>0.22115888269740766</v>
      </c>
      <c r="AC114" s="25"/>
      <c r="AD114" s="25">
        <v>-6.6555403717638378E-2</v>
      </c>
      <c r="AE114" s="25"/>
      <c r="AF114" s="25"/>
      <c r="AG114" s="25"/>
      <c r="AH114" s="25"/>
      <c r="AI114" s="25"/>
      <c r="AJ114" s="25"/>
      <c r="AK114" s="25">
        <f t="shared" si="3"/>
        <v>-2.4155709300234043E-3</v>
      </c>
      <c r="AL114" s="25">
        <f t="shared" si="4"/>
        <v>4.3367165488356479E-2</v>
      </c>
      <c r="AM114" s="32"/>
    </row>
    <row r="115" spans="27:39" x14ac:dyDescent="0.25">
      <c r="AA115" s="24">
        <v>6</v>
      </c>
      <c r="AB115" s="25">
        <v>0.26825997928259976</v>
      </c>
      <c r="AC115" s="25"/>
      <c r="AD115" s="25">
        <v>-6.9464936876027242E-2</v>
      </c>
      <c r="AE115" s="25"/>
      <c r="AF115" s="25"/>
      <c r="AG115" s="25"/>
      <c r="AH115" s="25"/>
      <c r="AI115" s="25"/>
      <c r="AJ115" s="25"/>
      <c r="AK115" s="25">
        <f t="shared" si="3"/>
        <v>-2.7203939211344688E-3</v>
      </c>
      <c r="AL115" s="25">
        <f t="shared" si="4"/>
        <v>4.6818961941019657E-2</v>
      </c>
      <c r="AM115" s="32"/>
    </row>
    <row r="116" spans="27:39" x14ac:dyDescent="0.25">
      <c r="AA116" s="24">
        <v>7</v>
      </c>
      <c r="AB116" s="25">
        <v>0.31479680657944697</v>
      </c>
      <c r="AC116" s="25"/>
      <c r="AD116" s="25">
        <v>-7.1996191559907316E-2</v>
      </c>
      <c r="AE116" s="25"/>
      <c r="AF116" s="25"/>
      <c r="AG116" s="25"/>
      <c r="AH116" s="25"/>
      <c r="AI116" s="25"/>
      <c r="AJ116" s="25"/>
      <c r="AK116" s="25">
        <f t="shared" si="3"/>
        <v>-2.5833624261281524E-3</v>
      </c>
      <c r="AL116" s="25">
        <f t="shared" si="4"/>
        <v>4.6200536350359978E-2</v>
      </c>
      <c r="AM116" s="32"/>
    </row>
    <row r="117" spans="27:39" x14ac:dyDescent="0.25">
      <c r="AA117" s="24">
        <v>8</v>
      </c>
      <c r="AB117" s="25">
        <v>0.36066105198331971</v>
      </c>
      <c r="AC117" s="25"/>
      <c r="AD117" s="25">
        <v>-7.4631661728283546E-2</v>
      </c>
      <c r="AE117" s="25"/>
      <c r="AF117" s="25"/>
      <c r="AG117" s="25"/>
      <c r="AH117" s="25"/>
      <c r="AI117" s="25"/>
      <c r="AJ117" s="25"/>
      <c r="AK117" s="25">
        <f t="shared" si="3"/>
        <v>-2.7073698212292802E-3</v>
      </c>
      <c r="AL117" s="25">
        <f t="shared" si="4"/>
        <v>4.4489122109694801E-2</v>
      </c>
      <c r="AM117" s="32"/>
    </row>
    <row r="118" spans="27:39" x14ac:dyDescent="0.25">
      <c r="AA118" s="24">
        <v>9</v>
      </c>
      <c r="AB118" s="25">
        <v>0.40377505079883658</v>
      </c>
      <c r="AC118" s="25"/>
      <c r="AD118" s="25">
        <v>-7.7410931202365876E-2</v>
      </c>
      <c r="AE118" s="25"/>
      <c r="AF118" s="25"/>
      <c r="AG118" s="25"/>
      <c r="AH118" s="25"/>
      <c r="AI118" s="25"/>
      <c r="AJ118" s="25"/>
      <c r="AK118" s="25">
        <f t="shared" si="3"/>
        <v>-3.2035325645562995E-3</v>
      </c>
      <c r="AL118" s="25">
        <f t="shared" si="4"/>
        <v>4.7479775333165997E-2</v>
      </c>
      <c r="AM118" s="32"/>
    </row>
    <row r="119" spans="27:39" x14ac:dyDescent="0.25">
      <c r="AA119" s="24">
        <v>10</v>
      </c>
      <c r="AB119" s="25">
        <v>0.45562060264965171</v>
      </c>
      <c r="AC119" s="25"/>
      <c r="AD119" s="25">
        <v>-8.1038726857396146E-2</v>
      </c>
      <c r="AE119" s="25"/>
      <c r="AF119" s="25"/>
      <c r="AG119" s="25"/>
      <c r="AH119" s="25"/>
      <c r="AI119" s="25"/>
      <c r="AJ119" s="25"/>
      <c r="AK119" s="25">
        <f t="shared" si="3"/>
        <v>-3.1501538730142609E-3</v>
      </c>
      <c r="AL119" s="25">
        <f t="shared" si="4"/>
        <v>5.1817140769936709E-2</v>
      </c>
      <c r="AM119" s="32"/>
    </row>
    <row r="120" spans="27:39" x14ac:dyDescent="0.25">
      <c r="AA120" s="24">
        <v>11</v>
      </c>
      <c r="AB120" s="25">
        <v>0.50740933233871</v>
      </c>
      <c r="AC120" s="25"/>
      <c r="AD120" s="25">
        <v>-8.3711238948394398E-2</v>
      </c>
      <c r="AE120" s="25"/>
      <c r="AF120" s="25"/>
      <c r="AG120" s="25"/>
      <c r="AH120" s="25"/>
      <c r="AI120" s="25"/>
      <c r="AJ120" s="25"/>
      <c r="AK120" s="25">
        <f t="shared" si="3"/>
        <v>-3.2092843583110819E-3</v>
      </c>
      <c r="AL120" s="25">
        <f t="shared" si="4"/>
        <v>5.4716787581190335E-2</v>
      </c>
      <c r="AM120" s="32"/>
    </row>
    <row r="121" spans="27:39" x14ac:dyDescent="0.25">
      <c r="AA121" s="24">
        <v>12</v>
      </c>
      <c r="AB121" s="25">
        <v>0.56505417781203238</v>
      </c>
      <c r="AC121" s="25"/>
      <c r="AD121" s="25">
        <v>-8.7457295574018309E-2</v>
      </c>
      <c r="AE121" s="25"/>
      <c r="AF121" s="25"/>
      <c r="AG121" s="25"/>
      <c r="AH121" s="25"/>
      <c r="AI121" s="25"/>
      <c r="AJ121" s="25"/>
      <c r="AK121" s="25">
        <f t="shared" si="3"/>
        <v>-3.9249769041317661E-3</v>
      </c>
      <c r="AL121" s="25">
        <f t="shared" si="4"/>
        <v>5.5642687430554394E-2</v>
      </c>
      <c r="AM121" s="32"/>
    </row>
    <row r="122" spans="27:39" x14ac:dyDescent="0.25">
      <c r="AA122" s="24">
        <v>13</v>
      </c>
      <c r="AB122" s="25">
        <v>0.61869470719981878</v>
      </c>
      <c r="AC122" s="25"/>
      <c r="AD122" s="25">
        <v>-9.156119275665793E-2</v>
      </c>
      <c r="AE122" s="25"/>
      <c r="AF122" s="25"/>
      <c r="AG122" s="25"/>
      <c r="AH122" s="25"/>
      <c r="AI122" s="25"/>
      <c r="AJ122" s="25"/>
      <c r="AK122" s="25">
        <f t="shared" si="3"/>
        <v>-4.6028359607267338E-3</v>
      </c>
      <c r="AL122" s="25">
        <f t="shared" si="4"/>
        <v>5.9486362355177125E-2</v>
      </c>
      <c r="AM122" s="32"/>
    </row>
    <row r="123" spans="27:39" x14ac:dyDescent="0.25">
      <c r="AA123" s="24">
        <v>14</v>
      </c>
      <c r="AB123" s="25">
        <v>0.68402690252238663</v>
      </c>
      <c r="AC123" s="25"/>
      <c r="AD123" s="25">
        <v>-9.6662967495471777E-2</v>
      </c>
      <c r="AE123" s="25"/>
      <c r="AF123" s="25"/>
      <c r="AG123" s="25"/>
      <c r="AH123" s="25"/>
      <c r="AI123" s="25"/>
      <c r="AJ123" s="25"/>
      <c r="AK123" s="25">
        <f t="shared" si="3"/>
        <v>-4.3589496416549522E-3</v>
      </c>
      <c r="AL123" s="25">
        <f t="shared" si="4"/>
        <v>5.3005613728986489E-2</v>
      </c>
      <c r="AM123" s="32"/>
    </row>
    <row r="124" spans="27:39" x14ac:dyDescent="0.25">
      <c r="AA124" s="24">
        <v>15</v>
      </c>
      <c r="AB124" s="25">
        <v>0.72470593465779176</v>
      </c>
      <c r="AC124" s="25"/>
      <c r="AD124" s="25">
        <v>-0.10027909203996783</v>
      </c>
      <c r="AE124" s="25"/>
      <c r="AF124" s="25"/>
      <c r="AG124" s="25"/>
      <c r="AH124" s="25"/>
      <c r="AI124" s="25"/>
      <c r="AJ124" s="25"/>
      <c r="AK124" s="25">
        <f t="shared" si="3"/>
        <v>-4.0802114781505958E-3</v>
      </c>
      <c r="AL124" s="25">
        <f t="shared" si="4"/>
        <v>4.567421771013136E-2</v>
      </c>
      <c r="AM124" s="32"/>
    </row>
    <row r="125" spans="27:39" x14ac:dyDescent="0.25">
      <c r="AA125" s="24">
        <v>16</v>
      </c>
      <c r="AB125" s="25">
        <v>0.77537533794264935</v>
      </c>
      <c r="AC125" s="25"/>
      <c r="AD125" s="25">
        <v>-0.10482339045177297</v>
      </c>
      <c r="AE125" s="25"/>
      <c r="AF125" s="25"/>
      <c r="AG125" s="25"/>
      <c r="AH125" s="25"/>
      <c r="AI125" s="25"/>
      <c r="AJ125" s="25"/>
      <c r="AK125" s="25">
        <f t="shared" si="3"/>
        <v>-4.2505461600690977E-3</v>
      </c>
      <c r="AL125" s="25">
        <f t="shared" si="4"/>
        <v>4.7542002191586996E-2</v>
      </c>
      <c r="AM125" s="32"/>
    </row>
    <row r="126" spans="27:39" x14ac:dyDescent="0.25">
      <c r="AA126" s="24">
        <v>17</v>
      </c>
      <c r="AB126" s="25">
        <v>0.81978993904096575</v>
      </c>
      <c r="AC126" s="25"/>
      <c r="AD126" s="25">
        <v>-0.10878018436010603</v>
      </c>
      <c r="AE126" s="25"/>
      <c r="AF126" s="25"/>
      <c r="AG126" s="25"/>
      <c r="AH126" s="25"/>
      <c r="AI126" s="25"/>
      <c r="AJ126" s="25"/>
      <c r="AK126" s="25">
        <f t="shared" si="3"/>
        <v>-4.5169792696671124E-3</v>
      </c>
      <c r="AL126" s="25">
        <f t="shared" si="4"/>
        <v>4.7976764866066557E-2</v>
      </c>
      <c r="AM126" s="32"/>
    </row>
    <row r="127" spans="27:39" x14ac:dyDescent="0.25">
      <c r="AA127" s="24">
        <v>18</v>
      </c>
      <c r="AB127" s="25">
        <v>0.87132886767478246</v>
      </c>
      <c r="AC127" s="25"/>
      <c r="AD127" s="25">
        <v>-0.11385734899110719</v>
      </c>
      <c r="AE127" s="25"/>
      <c r="AF127" s="25"/>
      <c r="AG127" s="25"/>
      <c r="AH127" s="25"/>
      <c r="AI127" s="25"/>
      <c r="AJ127" s="25"/>
      <c r="AK127" s="25">
        <f t="shared" si="3"/>
        <v>-4.6404091897079974E-3</v>
      </c>
      <c r="AL127" s="25">
        <f t="shared" si="4"/>
        <v>4.6008081830840319E-2</v>
      </c>
      <c r="AM127" s="32"/>
    </row>
    <row r="128" spans="27:39" x14ac:dyDescent="0.25">
      <c r="AA128" s="24">
        <v>19</v>
      </c>
      <c r="AB128" s="25">
        <v>0.91180610270264639</v>
      </c>
      <c r="AC128" s="25"/>
      <c r="AD128" s="25">
        <v>-0.11806100273952203</v>
      </c>
      <c r="AE128" s="25"/>
      <c r="AF128" s="25"/>
      <c r="AG128" s="25"/>
      <c r="AH128" s="25"/>
      <c r="AI128" s="25"/>
      <c r="AJ128" s="25"/>
      <c r="AK128" s="25">
        <f t="shared" si="3"/>
        <v>-4.2735878975221353E-3</v>
      </c>
      <c r="AL128" s="25">
        <f t="shared" si="4"/>
        <v>4.2367307137845034E-2</v>
      </c>
      <c r="AM128" s="32"/>
    </row>
    <row r="129" spans="26:40" x14ac:dyDescent="0.25">
      <c r="AA129" s="24">
        <v>20</v>
      </c>
      <c r="AB129" s="25">
        <v>0.95606348195047253</v>
      </c>
      <c r="AC129" s="25"/>
      <c r="AD129" s="25">
        <v>-0.12240452478615146</v>
      </c>
      <c r="AE129" s="25"/>
      <c r="AF129" s="25"/>
      <c r="AG129" s="25"/>
      <c r="AH129" s="25"/>
      <c r="AI129" s="25"/>
      <c r="AJ129" s="25"/>
      <c r="AK129" s="25">
        <f t="shared" si="3"/>
        <v>-4.3724509941876072E-3</v>
      </c>
      <c r="AL129" s="25">
        <f t="shared" si="4"/>
        <v>4.1498916477199665E-2</v>
      </c>
      <c r="AM129" s="32"/>
    </row>
    <row r="130" spans="26:40" x14ac:dyDescent="0.25">
      <c r="AA130" s="24">
        <v>21</v>
      </c>
      <c r="AB130" s="25">
        <v>0.99480393565704572</v>
      </c>
      <c r="AC130" s="25"/>
      <c r="AD130" s="25">
        <v>-0.12680590472789724</v>
      </c>
      <c r="AE130" s="25"/>
      <c r="AF130" s="25"/>
      <c r="AG130" s="25"/>
      <c r="AH130" s="25"/>
      <c r="AI130" s="25"/>
      <c r="AJ130" s="25"/>
      <c r="AK130" s="25">
        <f t="shared" si="3"/>
        <v>-4.484683716338686E-3</v>
      </c>
      <c r="AL130" s="25">
        <f t="shared" si="4"/>
        <v>3.9716048642885027E-2</v>
      </c>
      <c r="AM130" s="32"/>
    </row>
    <row r="131" spans="26:40" x14ac:dyDescent="0.25">
      <c r="AA131" s="24">
        <v>22</v>
      </c>
      <c r="AB131" s="25">
        <v>1.0354955792362426</v>
      </c>
      <c r="AC131" s="25"/>
      <c r="AD131" s="25">
        <v>-0.13137389221882884</v>
      </c>
      <c r="AE131" s="25"/>
      <c r="AF131" s="25"/>
      <c r="AG131" s="25"/>
      <c r="AH131" s="25"/>
      <c r="AI131" s="25"/>
      <c r="AJ131" s="25"/>
      <c r="AK131" s="25">
        <f t="shared" si="3"/>
        <v>-4.9220545526698217E-3</v>
      </c>
      <c r="AL131" s="25">
        <f t="shared" si="4"/>
        <v>3.9584748914991641E-2</v>
      </c>
      <c r="AM131" s="32"/>
    </row>
    <row r="132" spans="26:40" x14ac:dyDescent="0.25">
      <c r="AA132" s="24">
        <v>23</v>
      </c>
      <c r="AB132" s="25">
        <v>1.073973433487029</v>
      </c>
      <c r="AC132" s="25"/>
      <c r="AD132" s="25">
        <v>-0.13665001383323688</v>
      </c>
      <c r="AE132" s="25"/>
      <c r="AF132" s="25"/>
      <c r="AG132" s="25"/>
      <c r="AH132" s="25"/>
      <c r="AI132" s="25"/>
      <c r="AJ132" s="25"/>
      <c r="AK132" s="25">
        <f t="shared" si="3"/>
        <v>-5.2031279954357079E-3</v>
      </c>
      <c r="AL132" s="25">
        <f t="shared" si="4"/>
        <v>3.6707775108801188E-2</v>
      </c>
      <c r="AM132" s="32"/>
    </row>
    <row r="133" spans="26:40" x14ac:dyDescent="0.25">
      <c r="AA133" s="24">
        <v>24</v>
      </c>
      <c r="AB133" s="25">
        <v>1.108911129453845</v>
      </c>
      <c r="AC133" s="25"/>
      <c r="AD133" s="25">
        <v>-0.14178014820970025</v>
      </c>
      <c r="AE133" s="25"/>
      <c r="AF133" s="25"/>
      <c r="AG133" s="25"/>
      <c r="AH133" s="25"/>
      <c r="AI133" s="25"/>
      <c r="AJ133" s="25"/>
      <c r="AK133" s="25">
        <f t="shared" si="3"/>
        <v>-5.0430994045436994E-3</v>
      </c>
      <c r="AL133" s="25">
        <f t="shared" si="4"/>
        <v>3.2760660012314591E-2</v>
      </c>
      <c r="AM133" s="32"/>
    </row>
    <row r="134" spans="26:40" x14ac:dyDescent="0.25">
      <c r="AA134" s="24">
        <v>25</v>
      </c>
      <c r="AB134" s="25">
        <v>1.1394947535116582</v>
      </c>
      <c r="AC134" s="25"/>
      <c r="AD134" s="25">
        <v>-0.14673621264232428</v>
      </c>
      <c r="AE134" s="25"/>
      <c r="AF134" s="25"/>
      <c r="AG134" s="25"/>
      <c r="AH134" s="25"/>
      <c r="AI134" s="25"/>
      <c r="AJ134" s="25"/>
      <c r="AK134" s="25">
        <f t="shared" si="3"/>
        <v>-5.3636615394534459E-3</v>
      </c>
      <c r="AL134" s="25">
        <f t="shared" si="4"/>
        <v>3.1333220327308342E-2</v>
      </c>
      <c r="AM134" s="32"/>
    </row>
    <row r="135" spans="26:40" x14ac:dyDescent="0.25">
      <c r="AA135" s="24">
        <v>26</v>
      </c>
      <c r="AB135" s="25">
        <v>1.1715775701084616</v>
      </c>
      <c r="AC135" s="25"/>
      <c r="AD135" s="25">
        <v>-0.15250747128860714</v>
      </c>
      <c r="AE135" s="25"/>
      <c r="AF135" s="25"/>
      <c r="AG135" s="25"/>
      <c r="AH135" s="25"/>
      <c r="AI135" s="25"/>
      <c r="AJ135" s="25"/>
      <c r="AK135" s="25">
        <f t="shared" si="3"/>
        <v>-5.6477802253833975E-3</v>
      </c>
      <c r="AL135" s="25">
        <f t="shared" si="4"/>
        <v>2.9383829865214262E-2</v>
      </c>
      <c r="AM135" s="32"/>
    </row>
    <row r="136" spans="26:40" x14ac:dyDescent="0.25">
      <c r="AA136" s="24">
        <v>27</v>
      </c>
      <c r="AB136" s="25">
        <v>1.1982624132420867</v>
      </c>
      <c r="AC136" s="25"/>
      <c r="AD136" s="25">
        <v>-0.15803177309309108</v>
      </c>
      <c r="AE136" s="25"/>
      <c r="AF136" s="25"/>
      <c r="AG136" s="25"/>
      <c r="AH136" s="25"/>
      <c r="AI136" s="25"/>
      <c r="AJ136" s="25"/>
      <c r="AK136" s="25">
        <f t="shared" si="3"/>
        <v>-5.540585383853866E-3</v>
      </c>
      <c r="AL136" s="25">
        <f t="shared" si="4"/>
        <v>2.5178302987651224E-2</v>
      </c>
      <c r="AM136" s="32"/>
    </row>
    <row r="137" spans="26:40" x14ac:dyDescent="0.25">
      <c r="AA137" s="24">
        <v>28</v>
      </c>
      <c r="AB137" s="25">
        <v>1.2219341760837641</v>
      </c>
      <c r="AC137" s="25"/>
      <c r="AD137" s="25">
        <v>-0.16358864205631488</v>
      </c>
      <c r="AE137" s="25"/>
      <c r="AF137" s="25"/>
      <c r="AG137" s="25"/>
      <c r="AH137" s="25"/>
      <c r="AI137" s="25"/>
      <c r="AJ137" s="25"/>
      <c r="AK137" s="25">
        <f t="shared" si="3"/>
        <v>-5.0539333194731528E-3</v>
      </c>
      <c r="AL137" s="25">
        <f t="shared" si="4"/>
        <v>2.0849460074212289E-2</v>
      </c>
      <c r="AM137" s="32"/>
    </row>
    <row r="138" spans="26:40" x14ac:dyDescent="0.25">
      <c r="AA138" s="24">
        <v>29</v>
      </c>
      <c r="AB138" s="25">
        <v>1.2399613333905113</v>
      </c>
      <c r="AC138" s="25"/>
      <c r="AD138" s="25">
        <v>-0.16813963973203738</v>
      </c>
      <c r="AE138" s="25"/>
      <c r="AF138" s="25"/>
      <c r="AG138" s="25"/>
      <c r="AH138" s="25"/>
      <c r="AI138" s="25"/>
      <c r="AJ138" s="25"/>
      <c r="AK138" s="25">
        <f t="shared" si="3"/>
        <v>-3.7455666217140193E-3</v>
      </c>
      <c r="AL138" s="25">
        <f t="shared" si="4"/>
        <v>1.4653948116589266E-2</v>
      </c>
      <c r="AM138" s="32"/>
    </row>
    <row r="139" spans="26:40" ht="13.8" thickBot="1" x14ac:dyDescent="0.3">
      <c r="AA139" s="26">
        <v>30</v>
      </c>
      <c r="AB139" s="27">
        <v>1.2512420723169426</v>
      </c>
      <c r="AC139" s="27"/>
      <c r="AD139" s="27">
        <v>-0.17107977529974291</v>
      </c>
      <c r="AE139" s="27"/>
      <c r="AF139" s="27"/>
      <c r="AG139" s="27"/>
      <c r="AH139" s="27"/>
      <c r="AI139" s="27"/>
      <c r="AJ139" s="27"/>
      <c r="AK139" s="27">
        <f>(AD139-AD138)/($AA139-$AA138)</f>
        <v>-2.9401355677055319E-3</v>
      </c>
      <c r="AL139" s="27">
        <f>(AB139-AB138)/($AA139-$AA138)</f>
        <v>1.1280738926431333E-2</v>
      </c>
      <c r="AM139" s="33"/>
    </row>
    <row r="140" spans="26:40" ht="13.8" thickBot="1" x14ac:dyDescent="0.3">
      <c r="Z140" s="65" t="s">
        <v>61</v>
      </c>
      <c r="AA140" s="22">
        <v>-15</v>
      </c>
      <c r="AB140" s="23"/>
      <c r="AC140" s="23"/>
      <c r="AD140" s="23"/>
      <c r="AE140" s="23"/>
      <c r="AF140" s="23"/>
      <c r="AG140" s="23"/>
      <c r="AH140" s="23"/>
      <c r="AI140" s="23"/>
      <c r="AJ140" s="23"/>
      <c r="AK140" s="23"/>
      <c r="AL140" s="23"/>
      <c r="AM140" s="31"/>
      <c r="AN140" s="301" t="s">
        <v>72</v>
      </c>
    </row>
    <row r="141" spans="26:40" x14ac:dyDescent="0.25">
      <c r="AA141" s="24">
        <v>-14</v>
      </c>
      <c r="AB141" s="25"/>
      <c r="AC141" s="25"/>
      <c r="AD141" s="25"/>
      <c r="AE141" s="25"/>
      <c r="AF141" s="25"/>
      <c r="AG141" s="25"/>
      <c r="AH141" s="25"/>
      <c r="AI141" s="25"/>
      <c r="AJ141" s="25"/>
      <c r="AK141" s="25"/>
      <c r="AL141" s="25"/>
      <c r="AM141" s="32"/>
      <c r="AN141" s="276"/>
    </row>
    <row r="142" spans="26:40" ht="13.2" customHeight="1" x14ac:dyDescent="0.25">
      <c r="AA142" s="24">
        <v>-13</v>
      </c>
      <c r="AB142" s="25"/>
      <c r="AC142" s="25"/>
      <c r="AD142" s="25"/>
      <c r="AE142" s="25"/>
      <c r="AF142" s="25"/>
      <c r="AG142" s="25"/>
      <c r="AH142" s="25"/>
      <c r="AI142" s="25"/>
      <c r="AJ142" s="25"/>
      <c r="AK142" s="25"/>
      <c r="AL142" s="25"/>
      <c r="AM142" s="32"/>
      <c r="AN142" s="301" t="s">
        <v>65</v>
      </c>
    </row>
    <row r="143" spans="26:40" x14ac:dyDescent="0.25">
      <c r="AA143" s="24">
        <v>-12</v>
      </c>
      <c r="AB143" s="25"/>
      <c r="AC143" s="25"/>
      <c r="AD143" s="25"/>
      <c r="AE143" s="25"/>
      <c r="AF143" s="25"/>
      <c r="AG143" s="25"/>
      <c r="AH143" s="25"/>
      <c r="AI143" s="25"/>
      <c r="AJ143" s="25"/>
      <c r="AK143" s="25"/>
      <c r="AL143" s="25"/>
      <c r="AM143" s="32"/>
      <c r="AN143" s="276"/>
    </row>
    <row r="144" spans="26:40" ht="13.2" customHeight="1" x14ac:dyDescent="0.25">
      <c r="AA144" s="24">
        <v>-11</v>
      </c>
      <c r="AB144" s="25"/>
      <c r="AC144" s="25"/>
      <c r="AD144" s="25"/>
      <c r="AE144" s="25"/>
      <c r="AF144" s="25"/>
      <c r="AG144" s="25"/>
      <c r="AH144" s="25"/>
      <c r="AI144" s="25"/>
      <c r="AJ144" s="25"/>
      <c r="AK144" s="25"/>
      <c r="AL144" s="25"/>
      <c r="AM144" s="32"/>
      <c r="AN144" s="302" t="s">
        <v>66</v>
      </c>
    </row>
    <row r="145" spans="27:40" x14ac:dyDescent="0.25">
      <c r="AA145" s="24">
        <v>-10</v>
      </c>
      <c r="AB145" s="25"/>
      <c r="AC145" s="25"/>
      <c r="AD145" s="25"/>
      <c r="AE145" s="25"/>
      <c r="AF145" s="25"/>
      <c r="AG145" s="25"/>
      <c r="AH145" s="25"/>
      <c r="AI145" s="25"/>
      <c r="AJ145" s="25"/>
      <c r="AK145" s="25"/>
      <c r="AL145" s="25"/>
      <c r="AM145" s="32"/>
      <c r="AN145" s="303"/>
    </row>
    <row r="146" spans="27:40" x14ac:dyDescent="0.25">
      <c r="AA146" s="24">
        <v>-9</v>
      </c>
      <c r="AB146" s="25"/>
      <c r="AC146" s="25"/>
      <c r="AD146" s="25"/>
      <c r="AE146" s="25"/>
      <c r="AF146" s="25"/>
      <c r="AG146" s="25"/>
      <c r="AH146" s="25"/>
      <c r="AI146" s="25"/>
      <c r="AJ146" s="25"/>
      <c r="AK146" s="25"/>
      <c r="AL146" s="25"/>
      <c r="AM146" s="32"/>
      <c r="AN146" s="302" t="s">
        <v>67</v>
      </c>
    </row>
    <row r="147" spans="27:40" x14ac:dyDescent="0.25">
      <c r="AA147" s="24">
        <v>-8</v>
      </c>
      <c r="AB147" s="25"/>
      <c r="AC147" s="25"/>
      <c r="AD147" s="25"/>
      <c r="AE147" s="25"/>
      <c r="AF147" s="25"/>
      <c r="AG147" s="25"/>
      <c r="AH147" s="25"/>
      <c r="AI147" s="25"/>
      <c r="AJ147" s="25"/>
      <c r="AK147" s="25"/>
      <c r="AL147" s="25"/>
      <c r="AM147" s="32"/>
      <c r="AN147" s="303"/>
    </row>
    <row r="148" spans="27:40" x14ac:dyDescent="0.25">
      <c r="AA148" s="24">
        <v>-7</v>
      </c>
      <c r="AB148" s="25">
        <v>-0.30227425000000002</v>
      </c>
      <c r="AC148" s="25"/>
      <c r="AD148" s="25"/>
      <c r="AE148" s="25"/>
      <c r="AF148" s="25"/>
      <c r="AG148" s="25"/>
      <c r="AH148" s="25">
        <v>-1.1613321626713954E-2</v>
      </c>
      <c r="AI148" s="25">
        <v>2.2280102142737896E-3</v>
      </c>
      <c r="AJ148" s="25">
        <v>1.8832291529402855E-4</v>
      </c>
      <c r="AK148" s="25"/>
      <c r="AL148" s="25">
        <f>(AB149-AB148)/($AA149-$AA148)</f>
        <v>3.7690749999999995E-2</v>
      </c>
      <c r="AM148" s="32"/>
    </row>
    <row r="149" spans="27:40" x14ac:dyDescent="0.25">
      <c r="AA149" s="24">
        <v>-6</v>
      </c>
      <c r="AB149" s="25">
        <v>-0.26458350000000003</v>
      </c>
      <c r="AC149" s="25"/>
      <c r="AD149" s="25"/>
      <c r="AE149" s="25"/>
      <c r="AF149" s="25"/>
      <c r="AG149" s="25"/>
      <c r="AH149" s="25">
        <v>-1.1466975345378022E-2</v>
      </c>
      <c r="AI149" s="25">
        <v>2.2489854861178931E-3</v>
      </c>
      <c r="AJ149" s="25">
        <v>1.1859589895879397E-4</v>
      </c>
      <c r="AK149" s="25"/>
      <c r="AL149" s="25">
        <f t="shared" ref="AL149:AL182" si="5">(AB150-AB148)/($AA150-$AA148)</f>
        <v>3.7690749999999995E-2</v>
      </c>
      <c r="AM149" s="32"/>
    </row>
    <row r="150" spans="27:40" x14ac:dyDescent="0.25">
      <c r="AA150" s="24">
        <v>-5</v>
      </c>
      <c r="AB150" s="25">
        <v>-0.22689275000000003</v>
      </c>
      <c r="AC150" s="25"/>
      <c r="AD150" s="25"/>
      <c r="AE150" s="25"/>
      <c r="AF150" s="25"/>
      <c r="AG150" s="25"/>
      <c r="AH150" s="25">
        <v>-1.1287981099655136E-2</v>
      </c>
      <c r="AI150" s="25">
        <v>2.2596869448737022E-3</v>
      </c>
      <c r="AJ150" s="25">
        <v>3.9826858536277472E-5</v>
      </c>
      <c r="AK150" s="25"/>
      <c r="AL150" s="25">
        <f t="shared" si="5"/>
        <v>3.7690750000000009E-2</v>
      </c>
      <c r="AM150" s="32"/>
    </row>
    <row r="151" spans="27:40" x14ac:dyDescent="0.25">
      <c r="AA151" s="24">
        <v>-4</v>
      </c>
      <c r="AB151" s="25">
        <v>-0.18920200000000001</v>
      </c>
      <c r="AC151" s="25"/>
      <c r="AD151" s="25"/>
      <c r="AE151" s="25"/>
      <c r="AF151" s="25"/>
      <c r="AG151" s="25"/>
      <c r="AH151" s="25">
        <v>-1.1120460760759069E-2</v>
      </c>
      <c r="AI151" s="25">
        <v>2.2768139692195964E-3</v>
      </c>
      <c r="AJ151" s="25">
        <v>-4.7251665347998592E-5</v>
      </c>
      <c r="AK151" s="25"/>
      <c r="AL151" s="25">
        <f t="shared" si="5"/>
        <v>3.8792737500000007E-2</v>
      </c>
      <c r="AM151" s="32"/>
    </row>
    <row r="152" spans="27:40" x14ac:dyDescent="0.25">
      <c r="AA152" s="24">
        <v>-3</v>
      </c>
      <c r="AB152" s="25">
        <v>-0.14930727500000002</v>
      </c>
      <c r="AC152" s="25"/>
      <c r="AD152" s="25"/>
      <c r="AE152" s="25"/>
      <c r="AF152" s="25"/>
      <c r="AG152" s="25"/>
      <c r="AH152" s="25">
        <v>-1.1027166066198619E-2</v>
      </c>
      <c r="AI152" s="25">
        <v>2.2893773893112182E-3</v>
      </c>
      <c r="AJ152" s="25">
        <v>-1.5540348195330574E-4</v>
      </c>
      <c r="AK152" s="25"/>
      <c r="AL152" s="25">
        <f t="shared" si="5"/>
        <v>3.9894725000000006E-2</v>
      </c>
      <c r="AM152" s="32"/>
    </row>
    <row r="153" spans="27:40" x14ac:dyDescent="0.25">
      <c r="AA153" s="24">
        <v>-2</v>
      </c>
      <c r="AB153" s="25">
        <v>-0.10941255</v>
      </c>
      <c r="AC153" s="25"/>
      <c r="AD153" s="25"/>
      <c r="AE153" s="25"/>
      <c r="AF153" s="25"/>
      <c r="AG153" s="25"/>
      <c r="AH153" s="25">
        <v>-1.0865272146148786E-2</v>
      </c>
      <c r="AI153" s="25">
        <v>2.3018872630904881E-3</v>
      </c>
      <c r="AJ153" s="25">
        <v>-2.8246385392732641E-4</v>
      </c>
      <c r="AK153" s="25"/>
      <c r="AL153" s="25">
        <f t="shared" si="5"/>
        <v>3.9894725000000006E-2</v>
      </c>
      <c r="AM153" s="32"/>
    </row>
    <row r="154" spans="27:40" x14ac:dyDescent="0.25">
      <c r="AA154" s="24">
        <v>-1</v>
      </c>
      <c r="AB154" s="25">
        <v>-6.9517825000000005E-2</v>
      </c>
      <c r="AC154" s="25"/>
      <c r="AD154" s="25"/>
      <c r="AE154" s="25"/>
      <c r="AF154" s="25"/>
      <c r="AG154" s="25"/>
      <c r="AH154" s="25">
        <v>-1.0763563362300914E-2</v>
      </c>
      <c r="AI154" s="25">
        <v>2.3077295006766795E-3</v>
      </c>
      <c r="AJ154" s="25">
        <v>-4.2611069411427875E-4</v>
      </c>
      <c r="AK154" s="25"/>
      <c r="AL154" s="25">
        <f t="shared" si="5"/>
        <v>3.9894724999999999E-2</v>
      </c>
      <c r="AM154" s="32"/>
    </row>
    <row r="155" spans="27:40" x14ac:dyDescent="0.25">
      <c r="AA155" s="24">
        <v>0</v>
      </c>
      <c r="AB155" s="25">
        <v>-2.9623099999999999E-2</v>
      </c>
      <c r="AC155" s="25"/>
      <c r="AD155" s="25"/>
      <c r="AE155" s="25"/>
      <c r="AF155" s="25"/>
      <c r="AG155" s="25"/>
      <c r="AH155" s="25">
        <v>-1.0550647886669344E-2</v>
      </c>
      <c r="AI155" s="25">
        <v>2.312633474501983E-3</v>
      </c>
      <c r="AJ155" s="25">
        <v>-5.7830152202455025E-4</v>
      </c>
      <c r="AK155" s="25"/>
      <c r="AL155" s="25">
        <f t="shared" si="5"/>
        <v>3.9355307953495254E-2</v>
      </c>
      <c r="AM155" s="32"/>
    </row>
    <row r="156" spans="27:40" x14ac:dyDescent="0.25">
      <c r="AA156" s="24">
        <v>1</v>
      </c>
      <c r="AB156" s="25">
        <v>9.1927909069904994E-3</v>
      </c>
      <c r="AC156" s="25"/>
      <c r="AD156" s="25"/>
      <c r="AE156" s="25"/>
      <c r="AF156" s="25"/>
      <c r="AG156" s="25"/>
      <c r="AH156" s="25">
        <v>-1.0427335805904698E-2</v>
      </c>
      <c r="AI156" s="25">
        <v>2.3137948603345559E-3</v>
      </c>
      <c r="AJ156" s="25">
        <v>-7.3878777502268478E-4</v>
      </c>
      <c r="AK156" s="25"/>
      <c r="AL156" s="25">
        <f t="shared" si="5"/>
        <v>3.8815890906990502E-2</v>
      </c>
      <c r="AM156" s="32"/>
    </row>
    <row r="157" spans="27:40" x14ac:dyDescent="0.25">
      <c r="AA157" s="24">
        <v>2</v>
      </c>
      <c r="AB157" s="25">
        <v>4.8008681813980998E-2</v>
      </c>
      <c r="AC157" s="25"/>
      <c r="AD157" s="25"/>
      <c r="AE157" s="25"/>
      <c r="AF157" s="25"/>
      <c r="AG157" s="25"/>
      <c r="AH157" s="25">
        <v>-1.031849272547177E-2</v>
      </c>
      <c r="AI157" s="25">
        <v>2.3130557576878873E-3</v>
      </c>
      <c r="AJ157" s="25">
        <v>-8.8714062543545909E-4</v>
      </c>
      <c r="AK157" s="25"/>
      <c r="AL157" s="25">
        <f t="shared" si="5"/>
        <v>3.8815890906990495E-2</v>
      </c>
      <c r="AM157" s="32"/>
    </row>
    <row r="158" spans="27:40" x14ac:dyDescent="0.25">
      <c r="AA158" s="24">
        <v>3</v>
      </c>
      <c r="AB158" s="25">
        <v>8.6824572720971493E-2</v>
      </c>
      <c r="AC158" s="25"/>
      <c r="AD158" s="25"/>
      <c r="AE158" s="25"/>
      <c r="AF158" s="25"/>
      <c r="AG158" s="25"/>
      <c r="AH158" s="25">
        <v>-1.0164220115174902E-2</v>
      </c>
      <c r="AI158" s="25">
        <v>2.3085582832437575E-3</v>
      </c>
      <c r="AJ158" s="25">
        <v>-1.0121762754218241E-3</v>
      </c>
      <c r="AK158" s="25"/>
      <c r="AL158" s="25">
        <f t="shared" si="5"/>
        <v>3.8815890906990502E-2</v>
      </c>
      <c r="AM158" s="32"/>
    </row>
    <row r="159" spans="27:40" x14ac:dyDescent="0.25">
      <c r="AA159" s="24">
        <v>4</v>
      </c>
      <c r="AB159" s="25">
        <v>0.125640463627962</v>
      </c>
      <c r="AC159" s="25"/>
      <c r="AD159" s="25"/>
      <c r="AE159" s="25"/>
      <c r="AF159" s="25"/>
      <c r="AG159" s="25"/>
      <c r="AH159" s="25">
        <v>-1.0031592626341479E-2</v>
      </c>
      <c r="AI159" s="25">
        <v>2.3030579729519996E-3</v>
      </c>
      <c r="AJ159" s="25">
        <v>-1.1360408601227968E-3</v>
      </c>
      <c r="AK159" s="25"/>
      <c r="AL159" s="25">
        <f t="shared" si="5"/>
        <v>3.8887065345658139E-2</v>
      </c>
      <c r="AM159" s="32"/>
    </row>
    <row r="160" spans="27:40" x14ac:dyDescent="0.25">
      <c r="AA160" s="24">
        <v>5</v>
      </c>
      <c r="AB160" s="25">
        <v>0.16459870341228777</v>
      </c>
      <c r="AC160" s="25"/>
      <c r="AD160" s="25"/>
      <c r="AE160" s="25"/>
      <c r="AF160" s="25"/>
      <c r="AG160" s="25"/>
      <c r="AH160" s="25">
        <v>-9.9384086855432794E-3</v>
      </c>
      <c r="AI160" s="25">
        <v>2.2976051719779031E-3</v>
      </c>
      <c r="AJ160" s="25">
        <v>-1.2432748620810083E-3</v>
      </c>
      <c r="AK160" s="25"/>
      <c r="AL160" s="25">
        <f t="shared" si="5"/>
        <v>3.895823978432579E-2</v>
      </c>
      <c r="AM160" s="32"/>
    </row>
    <row r="161" spans="27:39" x14ac:dyDescent="0.25">
      <c r="AA161" s="24">
        <v>6</v>
      </c>
      <c r="AB161" s="25">
        <v>0.20355694319661358</v>
      </c>
      <c r="AC161" s="25"/>
      <c r="AD161" s="25"/>
      <c r="AE161" s="25"/>
      <c r="AF161" s="25"/>
      <c r="AG161" s="25"/>
      <c r="AH161" s="25">
        <v>-9.8139067835302431E-3</v>
      </c>
      <c r="AI161" s="25">
        <v>2.2817294543688717E-3</v>
      </c>
      <c r="AJ161" s="25">
        <v>-1.3408832558019189E-3</v>
      </c>
      <c r="AK161" s="25"/>
      <c r="AL161" s="25">
        <f t="shared" si="5"/>
        <v>3.8958239784325804E-2</v>
      </c>
      <c r="AM161" s="32"/>
    </row>
    <row r="162" spans="27:39" x14ac:dyDescent="0.25">
      <c r="AA162" s="24">
        <v>7</v>
      </c>
      <c r="AB162" s="25">
        <v>0.24251518298093938</v>
      </c>
      <c r="AC162" s="25"/>
      <c r="AD162" s="25"/>
      <c r="AE162" s="25"/>
      <c r="AF162" s="25"/>
      <c r="AG162" s="25"/>
      <c r="AH162" s="25">
        <v>-9.6383817223746632E-3</v>
      </c>
      <c r="AI162" s="25">
        <v>2.2592067611491348E-3</v>
      </c>
      <c r="AJ162" s="25">
        <v>-1.426521095678826E-3</v>
      </c>
      <c r="AK162" s="25"/>
      <c r="AL162" s="25">
        <f t="shared" si="5"/>
        <v>3.895823978432579E-2</v>
      </c>
      <c r="AM162" s="32"/>
    </row>
    <row r="163" spans="27:39" x14ac:dyDescent="0.25">
      <c r="AA163" s="24">
        <v>8</v>
      </c>
      <c r="AB163" s="25">
        <v>0.28147342276526516</v>
      </c>
      <c r="AC163" s="25"/>
      <c r="AD163" s="25"/>
      <c r="AE163" s="25"/>
      <c r="AF163" s="25"/>
      <c r="AG163" s="25"/>
      <c r="AH163" s="25">
        <v>-9.5293988499697627E-3</v>
      </c>
      <c r="AI163" s="25">
        <v>2.2386662814209823E-3</v>
      </c>
      <c r="AJ163" s="25">
        <v>-1.4999110420350411E-3</v>
      </c>
      <c r="AK163" s="25"/>
      <c r="AL163" s="25">
        <f t="shared" si="5"/>
        <v>3.9707676896652888E-2</v>
      </c>
      <c r="AM163" s="32"/>
    </row>
    <row r="164" spans="27:39" x14ac:dyDescent="0.25">
      <c r="AA164" s="24">
        <v>9</v>
      </c>
      <c r="AB164" s="25">
        <v>0.32193053677424516</v>
      </c>
      <c r="AC164" s="25"/>
      <c r="AD164" s="25"/>
      <c r="AE164" s="25"/>
      <c r="AF164" s="25"/>
      <c r="AG164" s="25"/>
      <c r="AH164" s="25">
        <v>-9.4276182859638329E-3</v>
      </c>
      <c r="AI164" s="25">
        <v>2.2114119531640073E-3</v>
      </c>
      <c r="AJ164" s="25">
        <v>-1.5628574228992167E-3</v>
      </c>
      <c r="AK164" s="25"/>
      <c r="AL164" s="25">
        <f t="shared" si="5"/>
        <v>4.0457114008979972E-2</v>
      </c>
      <c r="AM164" s="32"/>
    </row>
    <row r="165" spans="27:39" x14ac:dyDescent="0.25">
      <c r="AA165" s="24">
        <v>10</v>
      </c>
      <c r="AB165" s="25">
        <v>0.3623876507832251</v>
      </c>
      <c r="AC165" s="25"/>
      <c r="AD165" s="25"/>
      <c r="AE165" s="25"/>
      <c r="AF165" s="25"/>
      <c r="AG165" s="25"/>
      <c r="AH165" s="25">
        <v>-9.3414552330997203E-3</v>
      </c>
      <c r="AI165" s="25">
        <v>2.1768642671180344E-3</v>
      </c>
      <c r="AJ165" s="25">
        <v>-1.6163244583280115E-3</v>
      </c>
      <c r="AK165" s="25"/>
      <c r="AL165" s="25">
        <f t="shared" si="5"/>
        <v>4.0457114008979972E-2</v>
      </c>
      <c r="AM165" s="32"/>
    </row>
    <row r="166" spans="27:39" x14ac:dyDescent="0.25">
      <c r="AA166" s="24">
        <v>11</v>
      </c>
      <c r="AB166" s="25">
        <v>0.4028447647922051</v>
      </c>
      <c r="AC166" s="25"/>
      <c r="AD166" s="25"/>
      <c r="AE166" s="25"/>
      <c r="AF166" s="25"/>
      <c r="AG166" s="25"/>
      <c r="AH166" s="25">
        <v>-9.2482782298107819E-3</v>
      </c>
      <c r="AI166" s="25">
        <v>2.148591014553179E-3</v>
      </c>
      <c r="AJ166" s="25">
        <v>-1.6572126295287758E-3</v>
      </c>
      <c r="AK166" s="25"/>
      <c r="AL166" s="25">
        <f t="shared" si="5"/>
        <v>4.045711400898E-2</v>
      </c>
      <c r="AM166" s="32"/>
    </row>
    <row r="167" spans="27:39" x14ac:dyDescent="0.25">
      <c r="AA167" s="24">
        <v>12</v>
      </c>
      <c r="AB167" s="25">
        <v>0.4433018788011851</v>
      </c>
      <c r="AC167" s="25"/>
      <c r="AD167" s="25"/>
      <c r="AE167" s="25"/>
      <c r="AF167" s="25"/>
      <c r="AG167" s="25"/>
      <c r="AH167" s="25">
        <v>-9.1321674583089447E-3</v>
      </c>
      <c r="AI167" s="25">
        <v>2.1099912252399698E-3</v>
      </c>
      <c r="AJ167" s="25">
        <v>-1.6755579603629997E-3</v>
      </c>
      <c r="AK167" s="25"/>
      <c r="AL167" s="25">
        <f t="shared" si="5"/>
        <v>3.93569692524256E-2</v>
      </c>
      <c r="AM167" s="32"/>
    </row>
    <row r="168" spans="27:39" x14ac:dyDescent="0.25">
      <c r="AA168" s="24">
        <v>13</v>
      </c>
      <c r="AB168" s="25">
        <v>0.4815587032970563</v>
      </c>
      <c r="AC168" s="25"/>
      <c r="AD168" s="25"/>
      <c r="AE168" s="25"/>
      <c r="AF168" s="25"/>
      <c r="AG168" s="25"/>
      <c r="AH168" s="25">
        <v>-9.0756938622656123E-3</v>
      </c>
      <c r="AI168" s="25">
        <v>2.0762054853534087E-3</v>
      </c>
      <c r="AJ168" s="25">
        <v>-1.6846498573858167E-3</v>
      </c>
      <c r="AK168" s="25"/>
      <c r="AL168" s="25">
        <f t="shared" si="5"/>
        <v>3.82568244958712E-2</v>
      </c>
      <c r="AM168" s="32"/>
    </row>
    <row r="169" spans="27:39" x14ac:dyDescent="0.25">
      <c r="AA169" s="24">
        <v>14</v>
      </c>
      <c r="AB169" s="25">
        <v>0.5198155277929275</v>
      </c>
      <c r="AC169" s="25"/>
      <c r="AD169" s="25"/>
      <c r="AE169" s="25"/>
      <c r="AF169" s="25"/>
      <c r="AG169" s="25"/>
      <c r="AH169" s="25">
        <v>-8.9972348968220678E-3</v>
      </c>
      <c r="AI169" s="25">
        <v>2.0337948076316263E-3</v>
      </c>
      <c r="AJ169" s="25">
        <v>-1.679629829289246E-3</v>
      </c>
      <c r="AK169" s="25"/>
      <c r="AL169" s="25">
        <f t="shared" si="5"/>
        <v>3.8256824495871256E-2</v>
      </c>
      <c r="AM169" s="32"/>
    </row>
    <row r="170" spans="27:39" x14ac:dyDescent="0.25">
      <c r="AA170" s="24">
        <v>15</v>
      </c>
      <c r="AB170" s="25">
        <v>0.55807235228879881</v>
      </c>
      <c r="AC170" s="25"/>
      <c r="AD170" s="25"/>
      <c r="AE170" s="25"/>
      <c r="AF170" s="25"/>
      <c r="AG170" s="25"/>
      <c r="AH170" s="25">
        <v>-8.8962069706590725E-3</v>
      </c>
      <c r="AI170" s="25">
        <v>1.9911271227799768E-3</v>
      </c>
      <c r="AJ170" s="25">
        <v>-1.6654796005926293E-3</v>
      </c>
      <c r="AK170" s="25"/>
      <c r="AL170" s="25">
        <f t="shared" si="5"/>
        <v>3.8256824495871256E-2</v>
      </c>
      <c r="AM170" s="32"/>
    </row>
    <row r="171" spans="27:39" x14ac:dyDescent="0.25">
      <c r="AA171" s="24">
        <v>16</v>
      </c>
      <c r="AB171" s="25">
        <v>0.59632917678467001</v>
      </c>
      <c r="AC171" s="25"/>
      <c r="AD171" s="25"/>
      <c r="AE171" s="25"/>
      <c r="AF171" s="25"/>
      <c r="AG171" s="25"/>
      <c r="AH171" s="25">
        <v>-8.8394516061311434E-3</v>
      </c>
      <c r="AI171" s="25">
        <v>1.9478972650318535E-3</v>
      </c>
      <c r="AJ171" s="25">
        <v>-1.6430473110536003E-3</v>
      </c>
      <c r="AK171" s="25"/>
      <c r="AL171" s="25">
        <f t="shared" si="5"/>
        <v>3.907571542542071E-2</v>
      </c>
      <c r="AM171" s="32"/>
    </row>
    <row r="172" spans="27:39" x14ac:dyDescent="0.25">
      <c r="AA172" s="24">
        <v>17</v>
      </c>
      <c r="AB172" s="25">
        <v>0.63622378313964023</v>
      </c>
      <c r="AC172" s="25"/>
      <c r="AD172" s="25"/>
      <c r="AE172" s="25"/>
      <c r="AF172" s="25"/>
      <c r="AG172" s="25"/>
      <c r="AH172" s="25">
        <v>-8.8209160734551567E-3</v>
      </c>
      <c r="AI172" s="25">
        <v>1.8973307336852033E-3</v>
      </c>
      <c r="AJ172" s="25">
        <v>-1.6042763459649743E-3</v>
      </c>
      <c r="AK172" s="25"/>
      <c r="AL172" s="25">
        <f t="shared" si="5"/>
        <v>3.9894606354970275E-2</v>
      </c>
      <c r="AM172" s="32"/>
    </row>
    <row r="173" spans="27:39" x14ac:dyDescent="0.25">
      <c r="AA173" s="24">
        <v>18</v>
      </c>
      <c r="AB173" s="25">
        <v>0.67611838949461056</v>
      </c>
      <c r="AC173" s="25"/>
      <c r="AD173" s="25"/>
      <c r="AE173" s="25"/>
      <c r="AF173" s="25"/>
      <c r="AG173" s="25"/>
      <c r="AH173" s="25">
        <v>-8.7504325831709081E-3</v>
      </c>
      <c r="AI173" s="25">
        <v>1.8425130266603905E-3</v>
      </c>
      <c r="AJ173" s="25">
        <v>-1.5575852728460053E-3</v>
      </c>
      <c r="AK173" s="25"/>
      <c r="AL173" s="25">
        <f t="shared" si="5"/>
        <v>3.9894606354970275E-2</v>
      </c>
      <c r="AM173" s="32"/>
    </row>
    <row r="174" spans="27:39" x14ac:dyDescent="0.25">
      <c r="AA174" s="24">
        <v>19</v>
      </c>
      <c r="AB174" s="25">
        <v>0.71601299584958078</v>
      </c>
      <c r="AC174" s="25"/>
      <c r="AD174" s="25"/>
      <c r="AE174" s="25"/>
      <c r="AF174" s="25"/>
      <c r="AG174" s="25"/>
      <c r="AH174" s="25">
        <v>-8.6785473700219939E-3</v>
      </c>
      <c r="AI174" s="25">
        <v>1.7872320866990439E-3</v>
      </c>
      <c r="AJ174" s="25">
        <v>-1.5005937115375899E-3</v>
      </c>
      <c r="AK174" s="25"/>
      <c r="AL174" s="25">
        <f t="shared" si="5"/>
        <v>3.9894606354970219E-2</v>
      </c>
      <c r="AM174" s="32"/>
    </row>
    <row r="175" spans="27:39" x14ac:dyDescent="0.25">
      <c r="AA175" s="24">
        <v>20</v>
      </c>
      <c r="AB175" s="25">
        <v>0.755907602204551</v>
      </c>
      <c r="AC175" s="25"/>
      <c r="AD175" s="25"/>
      <c r="AE175" s="25"/>
      <c r="AF175" s="25"/>
      <c r="AG175" s="25"/>
      <c r="AH175" s="25">
        <v>-8.7204315460707969E-3</v>
      </c>
      <c r="AI175" s="25">
        <v>1.7302358295381416E-3</v>
      </c>
      <c r="AJ175" s="25">
        <v>-1.4394067451751222E-3</v>
      </c>
      <c r="AK175" s="25"/>
      <c r="AL175" s="25">
        <f t="shared" si="5"/>
        <v>3.9894033261951067E-2</v>
      </c>
      <c r="AM175" s="32"/>
    </row>
    <row r="176" spans="27:39" x14ac:dyDescent="0.25">
      <c r="AA176" s="24">
        <v>21</v>
      </c>
      <c r="AB176" s="25">
        <v>0.79580106237348291</v>
      </c>
      <c r="AC176" s="25"/>
      <c r="AD176" s="25"/>
      <c r="AE176" s="25"/>
      <c r="AF176" s="25"/>
      <c r="AG176" s="25"/>
      <c r="AH176" s="25">
        <v>-8.619757373562343E-3</v>
      </c>
      <c r="AI176" s="25">
        <v>1.6683489967281896E-3</v>
      </c>
      <c r="AJ176" s="25">
        <v>-1.3615749052778669E-3</v>
      </c>
      <c r="AK176" s="25"/>
      <c r="AL176" s="25">
        <f t="shared" si="5"/>
        <v>3.9893460168931916E-2</v>
      </c>
      <c r="AM176" s="32"/>
    </row>
    <row r="177" spans="26:40" x14ac:dyDescent="0.25">
      <c r="AA177" s="24">
        <v>22</v>
      </c>
      <c r="AB177" s="25">
        <v>0.83569452254241483</v>
      </c>
      <c r="AC177" s="25"/>
      <c r="AD177" s="25"/>
      <c r="AE177" s="25"/>
      <c r="AF177" s="25"/>
      <c r="AG177" s="25"/>
      <c r="AH177" s="25">
        <v>-8.6007991773537368E-3</v>
      </c>
      <c r="AI177" s="25">
        <v>1.6030460668150649E-3</v>
      </c>
      <c r="AJ177" s="25">
        <v>-1.2716754783447775E-3</v>
      </c>
      <c r="AK177" s="25"/>
      <c r="AL177" s="25">
        <f t="shared" si="5"/>
        <v>3.989346016893186E-2</v>
      </c>
      <c r="AM177" s="32"/>
    </row>
    <row r="178" spans="26:40" x14ac:dyDescent="0.25">
      <c r="AA178" s="24">
        <v>23</v>
      </c>
      <c r="AB178" s="25">
        <v>0.87558798271134664</v>
      </c>
      <c r="AC178" s="25"/>
      <c r="AD178" s="25"/>
      <c r="AE178" s="25"/>
      <c r="AF178" s="25"/>
      <c r="AG178" s="25"/>
      <c r="AH178" s="25">
        <v>-8.5739645075191169E-3</v>
      </c>
      <c r="AI178" s="25">
        <v>1.533610121772109E-3</v>
      </c>
      <c r="AJ178" s="25">
        <v>-1.1615154380185243E-3</v>
      </c>
      <c r="AK178" s="25"/>
      <c r="AL178" s="25">
        <f t="shared" si="5"/>
        <v>3.989346016893186E-2</v>
      </c>
      <c r="AM178" s="32"/>
    </row>
    <row r="179" spans="26:40" x14ac:dyDescent="0.25">
      <c r="AA179" s="24">
        <v>24</v>
      </c>
      <c r="AB179" s="25">
        <v>0.91548144288027855</v>
      </c>
      <c r="AC179" s="25"/>
      <c r="AD179" s="25"/>
      <c r="AE179" s="25"/>
      <c r="AF179" s="25"/>
      <c r="AG179" s="25"/>
      <c r="AH179" s="25">
        <v>-8.5191914515487799E-3</v>
      </c>
      <c r="AI179" s="25">
        <v>1.4578382194856676E-3</v>
      </c>
      <c r="AJ179" s="25">
        <v>-1.0482703753124482E-3</v>
      </c>
      <c r="AK179" s="25"/>
      <c r="AL179" s="25">
        <f t="shared" si="5"/>
        <v>3.930894742855312E-2</v>
      </c>
      <c r="AM179" s="32"/>
    </row>
    <row r="180" spans="26:40" x14ac:dyDescent="0.25">
      <c r="AA180" s="24">
        <v>25</v>
      </c>
      <c r="AB180" s="25">
        <v>0.95420587756845288</v>
      </c>
      <c r="AC180" s="25"/>
      <c r="AD180" s="25"/>
      <c r="AE180" s="25"/>
      <c r="AF180" s="25"/>
      <c r="AG180" s="25"/>
      <c r="AH180" s="25">
        <v>-8.4854109898977199E-3</v>
      </c>
      <c r="AI180" s="25">
        <v>1.3827201343443248E-3</v>
      </c>
      <c r="AJ180" s="25">
        <v>-9.1857114212156037E-4</v>
      </c>
      <c r="AK180" s="25"/>
      <c r="AL180" s="25">
        <f t="shared" si="5"/>
        <v>3.872443468817427E-2</v>
      </c>
      <c r="AM180" s="32"/>
    </row>
    <row r="181" spans="26:40" x14ac:dyDescent="0.25">
      <c r="AA181" s="24">
        <v>26</v>
      </c>
      <c r="AB181" s="25">
        <v>0.99293031225662709</v>
      </c>
      <c r="AC181" s="25"/>
      <c r="AD181" s="25"/>
      <c r="AE181" s="25"/>
      <c r="AF181" s="25"/>
      <c r="AG181" s="25"/>
      <c r="AH181" s="25">
        <v>-8.4745485318294175E-3</v>
      </c>
      <c r="AI181" s="25">
        <v>1.3002726709996867E-3</v>
      </c>
      <c r="AJ181" s="25">
        <v>-7.8054643492912084E-4</v>
      </c>
      <c r="AK181" s="25"/>
      <c r="AL181" s="25">
        <f t="shared" si="5"/>
        <v>3.872443468817427E-2</v>
      </c>
      <c r="AM181" s="32"/>
    </row>
    <row r="182" spans="26:40" x14ac:dyDescent="0.25">
      <c r="AA182" s="24">
        <v>27</v>
      </c>
      <c r="AB182" s="25">
        <v>1.0316547469448014</v>
      </c>
      <c r="AC182" s="25"/>
      <c r="AD182" s="25"/>
      <c r="AE182" s="25"/>
      <c r="AF182" s="25"/>
      <c r="AG182" s="25"/>
      <c r="AH182" s="25">
        <v>-8.4787709939874324E-3</v>
      </c>
      <c r="AI182" s="25">
        <v>1.21435804455529E-3</v>
      </c>
      <c r="AJ182" s="25">
        <v>-6.3130027774553372E-4</v>
      </c>
      <c r="AK182" s="25"/>
      <c r="AL182" s="25">
        <f t="shared" si="5"/>
        <v>3.8724434688174325E-2</v>
      </c>
      <c r="AM182" s="32"/>
    </row>
    <row r="183" spans="26:40" x14ac:dyDescent="0.25">
      <c r="AA183" s="24">
        <v>28</v>
      </c>
      <c r="AB183" s="25">
        <v>1.0703791816329757</v>
      </c>
      <c r="AC183" s="25"/>
      <c r="AD183" s="25"/>
      <c r="AE183" s="25"/>
      <c r="AF183" s="25"/>
      <c r="AG183" s="25"/>
      <c r="AH183" s="25">
        <v>-8.4679475682636861E-3</v>
      </c>
      <c r="AI183" s="25">
        <v>1.1241079104678336E-3</v>
      </c>
      <c r="AJ183" s="25">
        <v>-4.7620470942333099E-4</v>
      </c>
      <c r="AK183" s="25"/>
      <c r="AL183" s="71">
        <f>(AB183-AB182)/($AA183-$AA182)</f>
        <v>3.8724434688174325E-2</v>
      </c>
      <c r="AM183" s="32"/>
    </row>
    <row r="184" spans="26:40" x14ac:dyDescent="0.25">
      <c r="AA184" s="24">
        <v>29</v>
      </c>
      <c r="AB184" s="25"/>
      <c r="AC184" s="25"/>
      <c r="AD184" s="25"/>
      <c r="AE184" s="25"/>
      <c r="AF184" s="25"/>
      <c r="AG184" s="25"/>
      <c r="AH184" s="25"/>
      <c r="AI184" s="25"/>
      <c r="AJ184" s="25"/>
      <c r="AK184" s="25"/>
      <c r="AL184" s="23"/>
      <c r="AM184" s="32"/>
    </row>
    <row r="185" spans="26:40" ht="13.8" thickBot="1" x14ac:dyDescent="0.3">
      <c r="AA185" s="26">
        <v>30</v>
      </c>
      <c r="AB185" s="27"/>
      <c r="AC185" s="27"/>
      <c r="AD185" s="27"/>
      <c r="AE185" s="27"/>
      <c r="AF185" s="27"/>
      <c r="AG185" s="27"/>
      <c r="AH185" s="27"/>
      <c r="AI185" s="27"/>
      <c r="AJ185" s="27"/>
      <c r="AK185" s="27"/>
      <c r="AL185" s="27"/>
      <c r="AM185" s="33"/>
    </row>
    <row r="186" spans="26:40" ht="13.8" thickBot="1" x14ac:dyDescent="0.3">
      <c r="Z186" s="65" t="s">
        <v>62</v>
      </c>
      <c r="AA186" s="22">
        <v>-15</v>
      </c>
      <c r="AB186" s="23">
        <v>-0.69576145050322946</v>
      </c>
      <c r="AC186" s="23">
        <v>0.18950274949102461</v>
      </c>
      <c r="AD186" s="23">
        <v>5.001678319734882E-2</v>
      </c>
      <c r="AE186" s="23"/>
      <c r="AF186" s="23"/>
      <c r="AG186" s="23"/>
      <c r="AH186" s="23"/>
      <c r="AI186" s="23"/>
      <c r="AJ186" s="23"/>
      <c r="AK186" s="23">
        <f>(AD187-AD186)/($AA187-$AA186)</f>
        <v>-2.5066102107350677E-3</v>
      </c>
      <c r="AL186" s="23">
        <f>(AB187-AB186)/($AA187-$AA186)</f>
        <v>4.5890524600042726E-2</v>
      </c>
      <c r="AM186" s="31"/>
      <c r="AN186" s="301" t="s">
        <v>63</v>
      </c>
    </row>
    <row r="187" spans="26:40" x14ac:dyDescent="0.25">
      <c r="AA187" s="24">
        <v>-14</v>
      </c>
      <c r="AB187" s="25">
        <v>-0.64987092590318674</v>
      </c>
      <c r="AC187" s="25">
        <v>0.16814315301676075</v>
      </c>
      <c r="AD187" s="25">
        <v>4.7510172986613752E-2</v>
      </c>
      <c r="AE187" s="25"/>
      <c r="AF187" s="25"/>
      <c r="AG187" s="25"/>
      <c r="AH187" s="25"/>
      <c r="AI187" s="25"/>
      <c r="AJ187" s="25"/>
      <c r="AK187" s="25">
        <f t="shared" ref="AK187:AK230" si="6">(AD188-AD186)/($AA188-$AA186)</f>
        <v>-2.5066102107350642E-3</v>
      </c>
      <c r="AL187" s="25">
        <f t="shared" ref="AL187:AL230" si="7">(AB188-AB186)/($AA188-$AA186)</f>
        <v>4.5890524600042726E-2</v>
      </c>
      <c r="AM187" s="32"/>
      <c r="AN187" s="276"/>
    </row>
    <row r="188" spans="26:40" x14ac:dyDescent="0.25">
      <c r="AA188" s="24">
        <v>-13</v>
      </c>
      <c r="AB188" s="25">
        <v>-0.60398040130314401</v>
      </c>
      <c r="AC188" s="25">
        <v>0.14678355654249692</v>
      </c>
      <c r="AD188" s="25">
        <v>4.5003562775878692E-2</v>
      </c>
      <c r="AE188" s="25"/>
      <c r="AF188" s="25"/>
      <c r="AG188" s="25"/>
      <c r="AH188" s="25"/>
      <c r="AI188" s="25"/>
      <c r="AJ188" s="25"/>
      <c r="AK188" s="25">
        <f t="shared" si="6"/>
        <v>-2.4184649456588068E-3</v>
      </c>
      <c r="AL188" s="25">
        <f t="shared" si="7"/>
        <v>4.5723091540794292E-2</v>
      </c>
      <c r="AM188" s="32"/>
      <c r="AN188" s="301" t="s">
        <v>64</v>
      </c>
    </row>
    <row r="189" spans="26:40" x14ac:dyDescent="0.25">
      <c r="AA189" s="24">
        <v>-12</v>
      </c>
      <c r="AB189" s="25">
        <v>-0.55842474282159815</v>
      </c>
      <c r="AC189" s="25">
        <v>0.12836247959355182</v>
      </c>
      <c r="AD189" s="25">
        <v>4.2673243095296139E-2</v>
      </c>
      <c r="AE189" s="25"/>
      <c r="AF189" s="25"/>
      <c r="AG189" s="25"/>
      <c r="AH189" s="25"/>
      <c r="AI189" s="25"/>
      <c r="AJ189" s="25"/>
      <c r="AK189" s="25">
        <f t="shared" si="6"/>
        <v>-2.2263498047294869E-3</v>
      </c>
      <c r="AL189" s="25">
        <f t="shared" si="7"/>
        <v>4.534118938746079E-2</v>
      </c>
      <c r="AM189" s="32"/>
      <c r="AN189" s="276"/>
    </row>
    <row r="190" spans="26:40" x14ac:dyDescent="0.25">
      <c r="AA190" s="24">
        <v>-11</v>
      </c>
      <c r="AB190" s="25">
        <v>-0.51329802252822243</v>
      </c>
      <c r="AC190" s="25">
        <v>0.11365087100769986</v>
      </c>
      <c r="AD190" s="25">
        <v>4.0550863166419718E-2</v>
      </c>
      <c r="AE190" s="25"/>
      <c r="AF190" s="25"/>
      <c r="AG190" s="25"/>
      <c r="AH190" s="25"/>
      <c r="AI190" s="25"/>
      <c r="AJ190" s="25"/>
      <c r="AK190" s="25">
        <f t="shared" si="6"/>
        <v>-2.1223799288764243E-3</v>
      </c>
      <c r="AL190" s="25">
        <f t="shared" si="7"/>
        <v>4.5126720293375777E-2</v>
      </c>
      <c r="AM190" s="32"/>
      <c r="AN190" s="301" t="s">
        <v>70</v>
      </c>
    </row>
    <row r="191" spans="26:40" x14ac:dyDescent="0.25">
      <c r="AA191" s="24">
        <v>-10</v>
      </c>
      <c r="AB191" s="25">
        <v>-0.4681713022348466</v>
      </c>
      <c r="AC191" s="25">
        <v>9.8939262421847834E-2</v>
      </c>
      <c r="AD191" s="25">
        <v>3.842848323754329E-2</v>
      </c>
      <c r="AE191" s="25"/>
      <c r="AF191" s="25"/>
      <c r="AG191" s="25"/>
      <c r="AH191" s="25"/>
      <c r="AI191" s="25"/>
      <c r="AJ191" s="25"/>
      <c r="AK191" s="25">
        <f t="shared" si="6"/>
        <v>-2.1223799288764243E-3</v>
      </c>
      <c r="AL191" s="25">
        <f t="shared" si="7"/>
        <v>4.5126720293375777E-2</v>
      </c>
      <c r="AM191" s="32"/>
      <c r="AN191" s="276"/>
    </row>
    <row r="192" spans="26:40" x14ac:dyDescent="0.25">
      <c r="AA192" s="24">
        <v>-9</v>
      </c>
      <c r="AB192" s="25">
        <v>-0.42304458194147088</v>
      </c>
      <c r="AC192" s="25">
        <v>8.4227653835995869E-2</v>
      </c>
      <c r="AD192" s="25">
        <v>3.6306103308666869E-2</v>
      </c>
      <c r="AE192" s="25"/>
      <c r="AF192" s="25"/>
      <c r="AG192" s="25"/>
      <c r="AH192" s="25"/>
      <c r="AI192" s="25"/>
      <c r="AJ192" s="25"/>
      <c r="AK192" s="25">
        <f t="shared" si="6"/>
        <v>-2.2374311580448322E-3</v>
      </c>
      <c r="AL192" s="25">
        <f t="shared" si="7"/>
        <v>4.5250101550732974E-2</v>
      </c>
      <c r="AM192" s="32"/>
    </row>
    <row r="193" spans="27:39" x14ac:dyDescent="0.25">
      <c r="AA193" s="24">
        <v>-8</v>
      </c>
      <c r="AB193" s="25">
        <v>-0.37767109913338065</v>
      </c>
      <c r="AC193" s="25">
        <v>7.0576776628254151E-2</v>
      </c>
      <c r="AD193" s="25">
        <v>3.3953620921453626E-2</v>
      </c>
      <c r="AE193" s="25"/>
      <c r="AF193" s="25"/>
      <c r="AG193" s="25"/>
      <c r="AH193" s="25"/>
      <c r="AI193" s="25"/>
      <c r="AJ193" s="25"/>
      <c r="AK193" s="25">
        <f t="shared" si="6"/>
        <v>-2.7799592407673403E-3</v>
      </c>
      <c r="AL193" s="25">
        <f t="shared" si="7"/>
        <v>4.57555589530588E-2</v>
      </c>
      <c r="AM193" s="32"/>
    </row>
    <row r="194" spans="27:39" x14ac:dyDescent="0.25">
      <c r="AA194" s="24">
        <v>-7</v>
      </c>
      <c r="AB194" s="25">
        <v>-0.33153346403535328</v>
      </c>
      <c r="AC194" s="25">
        <v>6.1055709009571912E-2</v>
      </c>
      <c r="AD194" s="25">
        <v>3.0746184827132188E-2</v>
      </c>
      <c r="AE194" s="25"/>
      <c r="AF194" s="25"/>
      <c r="AG194" s="25"/>
      <c r="AH194" s="25"/>
      <c r="AI194" s="25"/>
      <c r="AJ194" s="25"/>
      <c r="AK194" s="25">
        <f t="shared" si="6"/>
        <v>-3.2074360943214371E-3</v>
      </c>
      <c r="AL194" s="25">
        <f t="shared" si="7"/>
        <v>4.6137635098027346E-2</v>
      </c>
      <c r="AM194" s="32"/>
    </row>
    <row r="195" spans="27:39" x14ac:dyDescent="0.25">
      <c r="AA195" s="24">
        <v>-6</v>
      </c>
      <c r="AB195" s="25">
        <v>-0.28539582893732596</v>
      </c>
      <c r="AC195" s="25">
        <v>5.1534641390889667E-2</v>
      </c>
      <c r="AD195" s="25">
        <v>2.7538748732810751E-2</v>
      </c>
      <c r="AE195" s="25"/>
      <c r="AF195" s="25"/>
      <c r="AG195" s="25"/>
      <c r="AH195" s="25"/>
      <c r="AI195" s="25"/>
      <c r="AJ195" s="25"/>
      <c r="AK195" s="25">
        <f t="shared" si="6"/>
        <v>-3.2074360943214371E-3</v>
      </c>
      <c r="AL195" s="25">
        <f t="shared" si="7"/>
        <v>4.6137635098027346E-2</v>
      </c>
      <c r="AM195" s="32"/>
    </row>
    <row r="196" spans="27:39" x14ac:dyDescent="0.25">
      <c r="AA196" s="24">
        <v>-5</v>
      </c>
      <c r="AB196" s="25">
        <v>-0.23925819383929858</v>
      </c>
      <c r="AC196" s="25">
        <v>4.2013573772207422E-2</v>
      </c>
      <c r="AD196" s="25">
        <v>2.4331312638489314E-2</v>
      </c>
      <c r="AE196" s="25"/>
      <c r="AF196" s="25"/>
      <c r="AG196" s="25"/>
      <c r="AH196" s="25"/>
      <c r="AI196" s="25"/>
      <c r="AJ196" s="25"/>
      <c r="AK196" s="25">
        <f t="shared" si="6"/>
        <v>-3.1551213134520528E-3</v>
      </c>
      <c r="AL196" s="25">
        <f t="shared" si="7"/>
        <v>4.5519720295342778E-2</v>
      </c>
      <c r="AM196" s="32"/>
    </row>
    <row r="197" spans="27:39" x14ac:dyDescent="0.25">
      <c r="AA197" s="24">
        <v>-4</v>
      </c>
      <c r="AB197" s="25">
        <v>-0.1943563883466404</v>
      </c>
      <c r="AC197" s="25">
        <v>3.2830370038861259E-2</v>
      </c>
      <c r="AD197" s="25">
        <v>2.1228506105906646E-2</v>
      </c>
      <c r="AE197" s="25"/>
      <c r="AF197" s="25"/>
      <c r="AG197" s="25"/>
      <c r="AH197" s="25"/>
      <c r="AI197" s="25"/>
      <c r="AJ197" s="25"/>
      <c r="AK197" s="25">
        <f t="shared" si="6"/>
        <v>-2.643096274033906E-3</v>
      </c>
      <c r="AL197" s="25">
        <f t="shared" si="7"/>
        <v>4.0046094638248236E-2</v>
      </c>
      <c r="AM197" s="32"/>
    </row>
    <row r="198" spans="27:39" x14ac:dyDescent="0.25">
      <c r="AA198" s="24">
        <v>-3</v>
      </c>
      <c r="AB198" s="25">
        <v>-0.15916600456280211</v>
      </c>
      <c r="AC198" s="25">
        <v>2.7992301659030213E-2</v>
      </c>
      <c r="AD198" s="25">
        <v>1.9045120090421502E-2</v>
      </c>
      <c r="AE198" s="25"/>
      <c r="AF198" s="25"/>
      <c r="AG198" s="25"/>
      <c r="AH198" s="25"/>
      <c r="AI198" s="25"/>
      <c r="AJ198" s="25"/>
      <c r="AK198" s="25">
        <f t="shared" si="6"/>
        <v>-2.9597833921350888E-3</v>
      </c>
      <c r="AL198" s="25">
        <f t="shared" si="7"/>
        <v>3.7226930815707403E-2</v>
      </c>
      <c r="AM198" s="32"/>
    </row>
    <row r="199" spans="27:39" x14ac:dyDescent="0.25">
      <c r="AA199" s="24">
        <v>-2</v>
      </c>
      <c r="AB199" s="25">
        <v>-0.1199025267152256</v>
      </c>
      <c r="AC199" s="25">
        <v>2.1465602320575018E-2</v>
      </c>
      <c r="AD199" s="25">
        <v>1.5308939321636468E-2</v>
      </c>
      <c r="AE199" s="25"/>
      <c r="AF199" s="25"/>
      <c r="AG199" s="25"/>
      <c r="AH199" s="25"/>
      <c r="AI199" s="25"/>
      <c r="AJ199" s="25"/>
      <c r="AK199" s="25">
        <f t="shared" si="6"/>
        <v>-3.5442798067479688E-3</v>
      </c>
      <c r="AL199" s="25">
        <f t="shared" si="7"/>
        <v>3.951095599334202E-2</v>
      </c>
      <c r="AM199" s="32"/>
    </row>
    <row r="200" spans="27:39" x14ac:dyDescent="0.25">
      <c r="AA200" s="24">
        <v>-1</v>
      </c>
      <c r="AB200" s="25">
        <v>-8.014409257611807E-2</v>
      </c>
      <c r="AC200" s="25">
        <v>1.9110450008075822E-2</v>
      </c>
      <c r="AD200" s="25">
        <v>1.1956560476925565E-2</v>
      </c>
      <c r="AE200" s="25"/>
      <c r="AF200" s="25"/>
      <c r="AG200" s="25"/>
      <c r="AH200" s="25"/>
      <c r="AI200" s="25"/>
      <c r="AJ200" s="25"/>
      <c r="AK200" s="25">
        <f t="shared" si="6"/>
        <v>-3.7765154534056006E-3</v>
      </c>
      <c r="AL200" s="25">
        <f t="shared" si="7"/>
        <v>4.0422611673801137E-2</v>
      </c>
      <c r="AM200" s="32"/>
    </row>
    <row r="201" spans="27:39" x14ac:dyDescent="0.25">
      <c r="AA201" s="24">
        <v>0</v>
      </c>
      <c r="AB201" s="25">
        <v>-3.9057303367623329E-2</v>
      </c>
      <c r="AC201" s="25">
        <v>1.6933644288333948E-2</v>
      </c>
      <c r="AD201" s="25">
        <v>7.7559084148252667E-3</v>
      </c>
      <c r="AE201" s="25"/>
      <c r="AF201" s="25"/>
      <c r="AG201" s="25"/>
      <c r="AH201" s="25"/>
      <c r="AI201" s="25"/>
      <c r="AJ201" s="25"/>
      <c r="AK201" s="25">
        <f t="shared" si="6"/>
        <v>-3.8106869557408898E-3</v>
      </c>
      <c r="AL201" s="25">
        <f t="shared" si="7"/>
        <v>4.4894033624239972E-2</v>
      </c>
      <c r="AM201" s="32"/>
    </row>
    <row r="202" spans="27:39" x14ac:dyDescent="0.25">
      <c r="AA202" s="24">
        <v>1</v>
      </c>
      <c r="AB202" s="25">
        <v>9.6439746723618793E-3</v>
      </c>
      <c r="AC202" s="25">
        <v>1.5151855192166823E-2</v>
      </c>
      <c r="AD202" s="25">
        <v>4.3351865654437851E-3</v>
      </c>
      <c r="AE202" s="25"/>
      <c r="AF202" s="25"/>
      <c r="AG202" s="25"/>
      <c r="AH202" s="25"/>
      <c r="AI202" s="25"/>
      <c r="AJ202" s="25"/>
      <c r="AK202" s="25">
        <f t="shared" si="6"/>
        <v>-3.1041162664376086E-3</v>
      </c>
      <c r="AL202" s="25">
        <f t="shared" si="7"/>
        <v>4.2727799175470135E-2</v>
      </c>
      <c r="AM202" s="32"/>
    </row>
    <row r="203" spans="27:39" x14ac:dyDescent="0.25">
      <c r="AA203" s="24">
        <v>2</v>
      </c>
      <c r="AB203" s="25">
        <v>4.6398294983316934E-2</v>
      </c>
      <c r="AC203" s="25">
        <v>1.4803649834165919E-2</v>
      </c>
      <c r="AD203" s="25">
        <v>1.5476758819500495E-3</v>
      </c>
      <c r="AE203" s="25"/>
      <c r="AF203" s="25"/>
      <c r="AG203" s="25"/>
      <c r="AH203" s="25"/>
      <c r="AI203" s="25"/>
      <c r="AJ203" s="25"/>
      <c r="AK203" s="25">
        <f t="shared" si="6"/>
        <v>-2.9343955312691786E-3</v>
      </c>
      <c r="AL203" s="25">
        <f t="shared" si="7"/>
        <v>3.8008917409859649E-2</v>
      </c>
      <c r="AM203" s="32"/>
    </row>
    <row r="204" spans="27:39" x14ac:dyDescent="0.25">
      <c r="AA204" s="24">
        <v>3</v>
      </c>
      <c r="AB204" s="25">
        <v>8.5661809492081173E-2</v>
      </c>
      <c r="AC204" s="25">
        <v>1.6840593587676023E-2</v>
      </c>
      <c r="AD204" s="25">
        <v>-1.5336044970945721E-3</v>
      </c>
      <c r="AE204" s="25"/>
      <c r="AF204" s="25"/>
      <c r="AG204" s="25"/>
      <c r="AH204" s="25"/>
      <c r="AI204" s="25"/>
      <c r="AJ204" s="25"/>
      <c r="AK204" s="25">
        <f t="shared" si="6"/>
        <v>-3.0292228319522899E-3</v>
      </c>
      <c r="AL204" s="25">
        <f t="shared" si="7"/>
        <v>4.0273195425988673E-2</v>
      </c>
      <c r="AM204" s="32"/>
    </row>
    <row r="205" spans="27:39" x14ac:dyDescent="0.25">
      <c r="AA205" s="24">
        <v>4</v>
      </c>
      <c r="AB205" s="25">
        <v>0.12694468583529428</v>
      </c>
      <c r="AC205" s="25">
        <v>1.7417845526400546E-2</v>
      </c>
      <c r="AD205" s="25">
        <v>-4.5107697819545302E-3</v>
      </c>
      <c r="AE205" s="25"/>
      <c r="AF205" s="25"/>
      <c r="AG205" s="25"/>
      <c r="AH205" s="25"/>
      <c r="AI205" s="25"/>
      <c r="AJ205" s="25"/>
      <c r="AK205" s="25">
        <f t="shared" si="6"/>
        <v>-3.0387860496416453E-3</v>
      </c>
      <c r="AL205" s="25">
        <f t="shared" si="7"/>
        <v>3.9428889344479974E-2</v>
      </c>
      <c r="AM205" s="32"/>
    </row>
    <row r="206" spans="27:39" x14ac:dyDescent="0.25">
      <c r="AA206" s="24">
        <v>5</v>
      </c>
      <c r="AB206" s="25">
        <v>0.16451958818104112</v>
      </c>
      <c r="AC206" s="25">
        <v>1.9975971911659802E-2</v>
      </c>
      <c r="AD206" s="25">
        <v>-7.6111765963778628E-3</v>
      </c>
      <c r="AE206" s="25"/>
      <c r="AF206" s="25"/>
      <c r="AG206" s="25"/>
      <c r="AH206" s="25"/>
      <c r="AI206" s="25"/>
      <c r="AJ206" s="25"/>
      <c r="AK206" s="25">
        <f t="shared" si="6"/>
        <v>-3.6448427587804288E-3</v>
      </c>
      <c r="AL206" s="25">
        <f t="shared" si="7"/>
        <v>4.2326630395566195E-2</v>
      </c>
      <c r="AM206" s="32"/>
    </row>
    <row r="207" spans="27:39" x14ac:dyDescent="0.25">
      <c r="AA207" s="24">
        <v>6</v>
      </c>
      <c r="AB207" s="25">
        <v>0.21159794662642667</v>
      </c>
      <c r="AC207" s="25">
        <v>2.358986197103206E-2</v>
      </c>
      <c r="AD207" s="25">
        <v>-1.1800455299515388E-2</v>
      </c>
      <c r="AE207" s="25"/>
      <c r="AF207" s="25"/>
      <c r="AG207" s="25"/>
      <c r="AH207" s="25"/>
      <c r="AI207" s="25"/>
      <c r="AJ207" s="25"/>
      <c r="AK207" s="25">
        <f t="shared" si="6"/>
        <v>-3.6955956638281776E-3</v>
      </c>
      <c r="AL207" s="25">
        <f t="shared" si="7"/>
        <v>4.4212509337260231E-2</v>
      </c>
      <c r="AM207" s="32"/>
    </row>
    <row r="208" spans="27:39" x14ac:dyDescent="0.25">
      <c r="AA208" s="24">
        <v>7</v>
      </c>
      <c r="AB208" s="25">
        <v>0.25294460685556158</v>
      </c>
      <c r="AC208" s="25">
        <v>2.8564571819704707E-2</v>
      </c>
      <c r="AD208" s="25">
        <v>-1.5002367924034218E-2</v>
      </c>
      <c r="AE208" s="25"/>
      <c r="AF208" s="25"/>
      <c r="AG208" s="25"/>
      <c r="AH208" s="25"/>
      <c r="AI208" s="25"/>
      <c r="AJ208" s="25"/>
      <c r="AK208" s="25">
        <f t="shared" si="6"/>
        <v>-2.6044718967398644E-3</v>
      </c>
      <c r="AL208" s="25">
        <f t="shared" si="7"/>
        <v>4.1171206446470793E-2</v>
      </c>
      <c r="AM208" s="32"/>
    </row>
    <row r="209" spans="27:39" x14ac:dyDescent="0.25">
      <c r="AA209" s="24">
        <v>8</v>
      </c>
      <c r="AB209" s="25">
        <v>0.29394035951936826</v>
      </c>
      <c r="AC209" s="25">
        <v>3.3140735460267655E-2</v>
      </c>
      <c r="AD209" s="25">
        <v>-1.7009399092995117E-2</v>
      </c>
      <c r="AE209" s="25"/>
      <c r="AF209" s="25"/>
      <c r="AG209" s="25"/>
      <c r="AH209" s="25"/>
      <c r="AI209" s="25"/>
      <c r="AJ209" s="25"/>
      <c r="AK209" s="25">
        <f t="shared" si="6"/>
        <v>-2.431604465456612E-3</v>
      </c>
      <c r="AL209" s="25">
        <f t="shared" si="7"/>
        <v>3.6270042286006554E-2</v>
      </c>
      <c r="AM209" s="32"/>
    </row>
    <row r="210" spans="27:39" x14ac:dyDescent="0.25">
      <c r="AA210" s="24">
        <v>9</v>
      </c>
      <c r="AB210" s="25">
        <v>0.32548469142757469</v>
      </c>
      <c r="AC210" s="25">
        <v>3.947709535584825E-2</v>
      </c>
      <c r="AD210" s="25">
        <v>-1.9865576854947442E-2</v>
      </c>
      <c r="AE210" s="25"/>
      <c r="AF210" s="25"/>
      <c r="AG210" s="25"/>
      <c r="AH210" s="25"/>
      <c r="AI210" s="25"/>
      <c r="AJ210" s="25"/>
      <c r="AK210" s="25">
        <f t="shared" si="6"/>
        <v>-2.510502664530543E-3</v>
      </c>
      <c r="AL210" s="25">
        <f t="shared" si="7"/>
        <v>3.5689654917768654E-2</v>
      </c>
      <c r="AM210" s="32"/>
    </row>
    <row r="211" spans="27:39" x14ac:dyDescent="0.25">
      <c r="AA211" s="24">
        <v>10</v>
      </c>
      <c r="AB211" s="25">
        <v>0.36531966935490556</v>
      </c>
      <c r="AC211" s="25">
        <v>4.9388917332293697E-2</v>
      </c>
      <c r="AD211" s="25">
        <v>-2.2030404422056202E-2</v>
      </c>
      <c r="AE211" s="25"/>
      <c r="AF211" s="25"/>
      <c r="AG211" s="25"/>
      <c r="AH211" s="25"/>
      <c r="AI211" s="25"/>
      <c r="AJ211" s="25"/>
      <c r="AK211" s="25">
        <f t="shared" si="6"/>
        <v>-2.4851538966871763E-3</v>
      </c>
      <c r="AL211" s="25">
        <f t="shared" si="7"/>
        <v>4.0752415192653407E-2</v>
      </c>
      <c r="AM211" s="32"/>
    </row>
    <row r="212" spans="27:39" x14ac:dyDescent="0.25">
      <c r="AA212" s="24">
        <v>11</v>
      </c>
      <c r="AB212" s="25">
        <v>0.40698952181288151</v>
      </c>
      <c r="AC212" s="25">
        <v>6.1704374002815587E-2</v>
      </c>
      <c r="AD212" s="25">
        <v>-2.4835884648321795E-2</v>
      </c>
      <c r="AE212" s="25"/>
      <c r="AF212" s="25"/>
      <c r="AG212" s="25"/>
      <c r="AH212" s="25"/>
      <c r="AI212" s="25"/>
      <c r="AJ212" s="25"/>
      <c r="AK212" s="25">
        <f t="shared" si="6"/>
        <v>-2.8111788548752358E-3</v>
      </c>
      <c r="AL212" s="25">
        <f t="shared" si="7"/>
        <v>4.1695172174781303E-2</v>
      </c>
      <c r="AM212" s="32"/>
    </row>
    <row r="213" spans="27:39" x14ac:dyDescent="0.25">
      <c r="AA213" s="24">
        <v>12</v>
      </c>
      <c r="AB213" s="25">
        <v>0.44871001370446817</v>
      </c>
      <c r="AC213" s="25">
        <v>7.4250870963769783E-2</v>
      </c>
      <c r="AD213" s="25">
        <v>-2.7652762131806674E-2</v>
      </c>
      <c r="AE213" s="25"/>
      <c r="AF213" s="25"/>
      <c r="AG213" s="25"/>
      <c r="AH213" s="25"/>
      <c r="AI213" s="25"/>
      <c r="AJ213" s="25"/>
      <c r="AK213" s="25">
        <f t="shared" si="6"/>
        <v>-2.5064069854754192E-3</v>
      </c>
      <c r="AL213" s="25">
        <f t="shared" si="7"/>
        <v>4.1095380477850607E-2</v>
      </c>
      <c r="AM213" s="32"/>
    </row>
    <row r="214" spans="27:39" x14ac:dyDescent="0.25">
      <c r="AA214" s="24">
        <v>13</v>
      </c>
      <c r="AB214" s="25">
        <v>0.48918028276858272</v>
      </c>
      <c r="AC214" s="25">
        <v>8.9722126192527438E-2</v>
      </c>
      <c r="AD214" s="25">
        <v>-2.9848698619272633E-2</v>
      </c>
      <c r="AE214" s="25"/>
      <c r="AF214" s="25"/>
      <c r="AG214" s="25"/>
      <c r="AH214" s="25"/>
      <c r="AI214" s="25"/>
      <c r="AJ214" s="25"/>
      <c r="AK214" s="25">
        <f t="shared" si="6"/>
        <v>-2.1312567186670579E-3</v>
      </c>
      <c r="AL214" s="25">
        <f t="shared" si="7"/>
        <v>4.0361511057736998E-2</v>
      </c>
      <c r="AM214" s="32"/>
    </row>
    <row r="215" spans="27:39" x14ac:dyDescent="0.25">
      <c r="AA215" s="24">
        <v>14</v>
      </c>
      <c r="AB215" s="25">
        <v>0.52943303581994217</v>
      </c>
      <c r="AC215" s="25">
        <v>0.10616318111801552</v>
      </c>
      <c r="AD215" s="25">
        <v>-3.191527556914079E-2</v>
      </c>
      <c r="AE215" s="25"/>
      <c r="AF215" s="25"/>
      <c r="AG215" s="25"/>
      <c r="AH215" s="25"/>
      <c r="AI215" s="25"/>
      <c r="AJ215" s="25"/>
      <c r="AK215" s="25">
        <f t="shared" si="6"/>
        <v>-2.1742893706673191E-3</v>
      </c>
      <c r="AL215" s="25">
        <f t="shared" si="7"/>
        <v>4.0241152784744105E-2</v>
      </c>
      <c r="AM215" s="32"/>
    </row>
    <row r="216" spans="27:39" x14ac:dyDescent="0.25">
      <c r="AA216" s="24">
        <v>15</v>
      </c>
      <c r="AB216" s="25">
        <v>0.56966258833807093</v>
      </c>
      <c r="AC216" s="25">
        <v>0.1238806600126118</v>
      </c>
      <c r="AD216" s="25">
        <v>-3.4197277360607271E-2</v>
      </c>
      <c r="AE216" s="25"/>
      <c r="AF216" s="25"/>
      <c r="AG216" s="25"/>
      <c r="AH216" s="25"/>
      <c r="AI216" s="25"/>
      <c r="AJ216" s="25"/>
      <c r="AK216" s="25">
        <f t="shared" si="6"/>
        <v>-2.3537397069127337E-3</v>
      </c>
      <c r="AL216" s="25">
        <f t="shared" si="7"/>
        <v>4.0226715934692125E-2</v>
      </c>
      <c r="AM216" s="32"/>
    </row>
    <row r="217" spans="27:39" x14ac:dyDescent="0.25">
      <c r="AA217" s="24">
        <v>16</v>
      </c>
      <c r="AB217" s="25">
        <v>0.60988646768932642</v>
      </c>
      <c r="AC217" s="25">
        <v>0.1423838760820188</v>
      </c>
      <c r="AD217" s="25">
        <v>-3.6622754982966257E-2</v>
      </c>
      <c r="AE217" s="25"/>
      <c r="AF217" s="25"/>
      <c r="AG217" s="25"/>
      <c r="AH217" s="25"/>
      <c r="AI217" s="25"/>
      <c r="AJ217" s="25"/>
      <c r="AK217" s="25">
        <f t="shared" si="6"/>
        <v>-2.6465644066640918E-3</v>
      </c>
      <c r="AL217" s="25">
        <f t="shared" si="7"/>
        <v>4.5832935771830674E-2</v>
      </c>
      <c r="AM217" s="32"/>
    </row>
    <row r="218" spans="27:39" x14ac:dyDescent="0.25">
      <c r="AA218" s="24">
        <v>17</v>
      </c>
      <c r="AB218" s="25">
        <v>0.66132845988173228</v>
      </c>
      <c r="AC218" s="25">
        <v>0.16646981670119385</v>
      </c>
      <c r="AD218" s="25">
        <v>-3.9490406173935455E-2</v>
      </c>
      <c r="AE218" s="25"/>
      <c r="AF218" s="25"/>
      <c r="AG218" s="25"/>
      <c r="AH218" s="25"/>
      <c r="AI218" s="25"/>
      <c r="AJ218" s="25"/>
      <c r="AK218" s="25">
        <f t="shared" si="6"/>
        <v>-3.045827705935842E-3</v>
      </c>
      <c r="AL218" s="25">
        <f t="shared" si="7"/>
        <v>5.6496522525834869E-2</v>
      </c>
      <c r="AM218" s="32"/>
    </row>
    <row r="219" spans="27:39" x14ac:dyDescent="0.25">
      <c r="AA219" s="24">
        <v>18</v>
      </c>
      <c r="AB219" s="25">
        <v>0.72287951274099616</v>
      </c>
      <c r="AC219" s="25">
        <v>0.19587593432180397</v>
      </c>
      <c r="AD219" s="25">
        <v>-4.2714410394837941E-2</v>
      </c>
      <c r="AE219" s="25"/>
      <c r="AF219" s="25"/>
      <c r="AG219" s="25"/>
      <c r="AH219" s="25"/>
      <c r="AI219" s="25"/>
      <c r="AJ219" s="25"/>
      <c r="AK219" s="25">
        <f t="shared" si="6"/>
        <v>-3.0307546538638867E-3</v>
      </c>
      <c r="AL219" s="25">
        <f t="shared" si="7"/>
        <v>5.4116251050738529E-2</v>
      </c>
      <c r="AM219" s="32"/>
    </row>
    <row r="220" spans="27:39" x14ac:dyDescent="0.25">
      <c r="AA220" s="24">
        <v>19</v>
      </c>
      <c r="AB220" s="25">
        <v>0.76956096198320934</v>
      </c>
      <c r="AC220" s="25">
        <v>0.22444981339727785</v>
      </c>
      <c r="AD220" s="25">
        <v>-4.5551915481663229E-2</v>
      </c>
      <c r="AE220" s="25"/>
      <c r="AF220" s="25"/>
      <c r="AG220" s="25"/>
      <c r="AH220" s="25"/>
      <c r="AI220" s="25"/>
      <c r="AJ220" s="25"/>
      <c r="AK220" s="25">
        <f t="shared" si="6"/>
        <v>-2.7513174499903502E-3</v>
      </c>
      <c r="AL220" s="25">
        <f t="shared" si="7"/>
        <v>4.298416690831891E-2</v>
      </c>
      <c r="AM220" s="32"/>
    </row>
    <row r="221" spans="27:39" x14ac:dyDescent="0.25">
      <c r="AA221" s="24">
        <v>20</v>
      </c>
      <c r="AB221" s="25">
        <v>0.80884784655763398</v>
      </c>
      <c r="AC221" s="25">
        <v>0.25514436193961798</v>
      </c>
      <c r="AD221" s="25">
        <v>-4.8217045294818642E-2</v>
      </c>
      <c r="AE221" s="25"/>
      <c r="AF221" s="25"/>
      <c r="AG221" s="25"/>
      <c r="AH221" s="25"/>
      <c r="AI221" s="25"/>
      <c r="AJ221" s="25"/>
      <c r="AK221" s="25">
        <f t="shared" si="6"/>
        <v>-2.7192059279603706E-3</v>
      </c>
      <c r="AL221" s="25">
        <f t="shared" si="7"/>
        <v>3.8794370367369879E-2</v>
      </c>
      <c r="AM221" s="32"/>
    </row>
    <row r="222" spans="27:39" x14ac:dyDescent="0.25">
      <c r="AA222" s="24">
        <v>21</v>
      </c>
      <c r="AB222" s="25">
        <v>0.84714970271794909</v>
      </c>
      <c r="AC222" s="25">
        <v>0.28377984240655396</v>
      </c>
      <c r="AD222" s="25">
        <v>-5.099032733758397E-2</v>
      </c>
      <c r="AE222" s="25"/>
      <c r="AF222" s="25"/>
      <c r="AG222" s="25"/>
      <c r="AH222" s="25"/>
      <c r="AI222" s="25"/>
      <c r="AJ222" s="25"/>
      <c r="AK222" s="25">
        <f t="shared" si="6"/>
        <v>-2.8156820791709475E-3</v>
      </c>
      <c r="AL222" s="25">
        <f t="shared" si="7"/>
        <v>3.7892794246435824E-2</v>
      </c>
      <c r="AM222" s="32"/>
    </row>
    <row r="223" spans="27:39" x14ac:dyDescent="0.25">
      <c r="AA223" s="24">
        <v>22</v>
      </c>
      <c r="AB223" s="25">
        <v>0.88463343505050562</v>
      </c>
      <c r="AC223" s="25">
        <v>0.3107802024903944</v>
      </c>
      <c r="AD223" s="25">
        <v>-5.3848409453160537E-2</v>
      </c>
      <c r="AE223" s="25"/>
      <c r="AF223" s="25"/>
      <c r="AG223" s="25"/>
      <c r="AH223" s="25"/>
      <c r="AI223" s="25"/>
      <c r="AJ223" s="25"/>
      <c r="AK223" s="25">
        <f t="shared" si="6"/>
        <v>-3.0714896551031316E-3</v>
      </c>
      <c r="AL223" s="25">
        <f t="shared" si="7"/>
        <v>3.6004155757626277E-2</v>
      </c>
      <c r="AM223" s="32"/>
    </row>
    <row r="224" spans="27:39" x14ac:dyDescent="0.25">
      <c r="AA224" s="24">
        <v>23</v>
      </c>
      <c r="AB224" s="25">
        <v>0.91915801423320165</v>
      </c>
      <c r="AC224" s="25">
        <v>0.33811677981499305</v>
      </c>
      <c r="AD224" s="25">
        <v>-5.7133306647790233E-2</v>
      </c>
      <c r="AE224" s="25"/>
      <c r="AF224" s="25"/>
      <c r="AG224" s="25"/>
      <c r="AH224" s="25"/>
      <c r="AI224" s="25"/>
      <c r="AJ224" s="25"/>
      <c r="AK224" s="25">
        <f t="shared" si="6"/>
        <v>-3.7309824183915999E-3</v>
      </c>
      <c r="AL224" s="25">
        <f t="shared" si="7"/>
        <v>3.2237608418011765E-2</v>
      </c>
      <c r="AM224" s="32"/>
    </row>
    <row r="225" spans="27:39" x14ac:dyDescent="0.25">
      <c r="AA225" s="24">
        <v>24</v>
      </c>
      <c r="AB225" s="25">
        <v>0.94910865188652915</v>
      </c>
      <c r="AC225" s="25">
        <v>0.37158964714983</v>
      </c>
      <c r="AD225" s="25">
        <v>-6.1310374289943737E-2</v>
      </c>
      <c r="AE225" s="25"/>
      <c r="AF225" s="25"/>
      <c r="AG225" s="25"/>
      <c r="AH225" s="25"/>
      <c r="AI225" s="25"/>
      <c r="AJ225" s="25"/>
      <c r="AK225" s="25">
        <f t="shared" si="6"/>
        <v>-4.7133102067033819E-3</v>
      </c>
      <c r="AL225" s="25">
        <f t="shared" si="7"/>
        <v>3.0991760824616688E-2</v>
      </c>
      <c r="AM225" s="32"/>
    </row>
    <row r="226" spans="27:39" x14ac:dyDescent="0.25">
      <c r="AA226" s="24">
        <v>25</v>
      </c>
      <c r="AB226" s="25">
        <v>0.98114153588243502</v>
      </c>
      <c r="AC226" s="25">
        <v>0.40713397996710343</v>
      </c>
      <c r="AD226" s="25">
        <v>-6.6559927061196997E-2</v>
      </c>
      <c r="AE226" s="25"/>
      <c r="AF226" s="25"/>
      <c r="AG226" s="25"/>
      <c r="AH226" s="25"/>
      <c r="AI226" s="25"/>
      <c r="AJ226" s="25"/>
      <c r="AK226" s="25">
        <f t="shared" si="6"/>
        <v>-6.1598564741582318E-3</v>
      </c>
      <c r="AL226" s="25">
        <f t="shared" si="7"/>
        <v>3.3697431971982661E-2</v>
      </c>
      <c r="AM226" s="32"/>
    </row>
    <row r="227" spans="27:39" x14ac:dyDescent="0.25">
      <c r="AA227" s="24">
        <v>26</v>
      </c>
      <c r="AB227" s="25">
        <v>1.0165035158304945</v>
      </c>
      <c r="AC227" s="25">
        <v>0.44560918874790767</v>
      </c>
      <c r="AD227" s="25">
        <v>-7.36300872382602E-2</v>
      </c>
      <c r="AE227" s="25"/>
      <c r="AF227" s="25"/>
      <c r="AG227" s="25"/>
      <c r="AH227" s="25"/>
      <c r="AI227" s="25"/>
      <c r="AJ227" s="25"/>
      <c r="AK227" s="25">
        <f t="shared" si="6"/>
        <v>-6.7581366351713093E-3</v>
      </c>
      <c r="AL227" s="25">
        <f t="shared" si="7"/>
        <v>3.3644943848081199E-2</v>
      </c>
      <c r="AM227" s="32"/>
    </row>
    <row r="228" spans="27:39" x14ac:dyDescent="0.25">
      <c r="AA228" s="24">
        <v>27</v>
      </c>
      <c r="AB228" s="25">
        <v>1.0484314235785974</v>
      </c>
      <c r="AC228" s="25">
        <v>0.4827281359124424</v>
      </c>
      <c r="AD228" s="25">
        <v>-8.0076200331539615E-2</v>
      </c>
      <c r="AE228" s="25"/>
      <c r="AF228" s="25"/>
      <c r="AG228" s="25"/>
      <c r="AH228" s="25"/>
      <c r="AI228" s="25"/>
      <c r="AJ228" s="25"/>
      <c r="AK228" s="25">
        <f t="shared" si="6"/>
        <v>-5.6716665012235337E-3</v>
      </c>
      <c r="AL228" s="25">
        <f t="shared" si="7"/>
        <v>2.7621946216717208E-2</v>
      </c>
      <c r="AM228" s="32"/>
    </row>
    <row r="229" spans="27:39" x14ac:dyDescent="0.25">
      <c r="AA229" s="24">
        <v>28</v>
      </c>
      <c r="AB229" s="25">
        <v>1.0717474082639289</v>
      </c>
      <c r="AC229" s="25">
        <v>0.52028346707578033</v>
      </c>
      <c r="AD229" s="25">
        <v>-8.4973420240707268E-2</v>
      </c>
      <c r="AE229" s="25"/>
      <c r="AF229" s="25"/>
      <c r="AG229" s="25"/>
      <c r="AH229" s="25"/>
      <c r="AI229" s="25"/>
      <c r="AJ229" s="25"/>
      <c r="AK229" s="25">
        <f t="shared" si="6"/>
        <v>-4.7326617284697697E-3</v>
      </c>
      <c r="AL229" s="25">
        <f t="shared" si="7"/>
        <v>2.2532512410824213E-2</v>
      </c>
      <c r="AM229" s="32"/>
    </row>
    <row r="230" spans="27:39" x14ac:dyDescent="0.25">
      <c r="AA230" s="24">
        <v>29</v>
      </c>
      <c r="AB230" s="25">
        <v>1.0934964484002458</v>
      </c>
      <c r="AC230" s="25">
        <v>0.56298492543863976</v>
      </c>
      <c r="AD230" s="25">
        <v>-8.9541523788479155E-2</v>
      </c>
      <c r="AE230" s="25"/>
      <c r="AF230" s="25"/>
      <c r="AG230" s="25"/>
      <c r="AH230" s="25"/>
      <c r="AI230" s="25"/>
      <c r="AJ230" s="25"/>
      <c r="AK230" s="25">
        <f t="shared" si="6"/>
        <v>-3.7011775490942214E-3</v>
      </c>
      <c r="AL230" s="25">
        <f t="shared" si="7"/>
        <v>1.5150697300731486E-2</v>
      </c>
      <c r="AM230" s="32"/>
    </row>
    <row r="231" spans="27:39" ht="13.8" thickBot="1" x14ac:dyDescent="0.3">
      <c r="AA231" s="26">
        <v>30</v>
      </c>
      <c r="AB231" s="27">
        <v>1.1020488028653919</v>
      </c>
      <c r="AC231" s="27">
        <v>0.59595648754595443</v>
      </c>
      <c r="AD231" s="27">
        <v>-9.237577533889571E-2</v>
      </c>
      <c r="AE231" s="27"/>
      <c r="AF231" s="27"/>
      <c r="AG231" s="27"/>
      <c r="AH231" s="27"/>
      <c r="AI231" s="27"/>
      <c r="AJ231" s="27"/>
      <c r="AK231" s="27">
        <f>(AD231-AD230)/($AA231-$AA230)</f>
        <v>-2.8342515504165555E-3</v>
      </c>
      <c r="AL231" s="27">
        <f>(AB231-AB230)/($AA231-$AA230)</f>
        <v>8.552354465146017E-3</v>
      </c>
      <c r="AM231" s="33"/>
    </row>
  </sheetData>
  <mergeCells count="36">
    <mergeCell ref="AN14:AN15"/>
    <mergeCell ref="AN190:AN191"/>
    <mergeCell ref="AN140:AN141"/>
    <mergeCell ref="AN142:AN143"/>
    <mergeCell ref="AN144:AN145"/>
    <mergeCell ref="C16:D16"/>
    <mergeCell ref="AN94:AN95"/>
    <mergeCell ref="AN101:AN103"/>
    <mergeCell ref="AN96:AN98"/>
    <mergeCell ref="AN146:AN147"/>
    <mergeCell ref="AN186:AN187"/>
    <mergeCell ref="AN188:AN189"/>
    <mergeCell ref="AN48:AN50"/>
    <mergeCell ref="C15:D15"/>
    <mergeCell ref="C8:D8"/>
    <mergeCell ref="N4:Q4"/>
    <mergeCell ref="B1:H1"/>
    <mergeCell ref="B6:D6"/>
    <mergeCell ref="C7:D7"/>
    <mergeCell ref="B2:D2"/>
    <mergeCell ref="C3:D3"/>
    <mergeCell ref="C4:D4"/>
    <mergeCell ref="F2:H2"/>
    <mergeCell ref="B10:D10"/>
    <mergeCell ref="C11:D11"/>
    <mergeCell ref="C12:D12"/>
    <mergeCell ref="C13:D13"/>
    <mergeCell ref="C14:D14"/>
    <mergeCell ref="AN2:AN5"/>
    <mergeCell ref="AN6:AN7"/>
    <mergeCell ref="AN8:AN9"/>
    <mergeCell ref="AN10:AN11"/>
    <mergeCell ref="K1:L1"/>
    <mergeCell ref="N7:P7"/>
    <mergeCell ref="N10:P13"/>
    <mergeCell ref="AN12:AN13"/>
  </mergeCells>
  <phoneticPr fontId="0" type="noConversion"/>
  <pageMargins left="0.75" right="0.75" top="1" bottom="1" header="0.5" footer="0.5"/>
  <pageSetup orientation="portrait" r:id="rId1"/>
  <headerFooter alignWithMargins="0"/>
  <drawing r:id="rId2"/>
  <legacyDrawing r:id="rId3"/>
  <controls>
    <mc:AlternateContent xmlns:mc="http://schemas.openxmlformats.org/markup-compatibility/2006">
      <mc:Choice Requires="x14">
        <control shapeId="4107" r:id="rId4" name="cbDeleteUserFields">
          <controlPr defaultSize="0" autoLine="0" r:id="rId5">
            <anchor>
              <from>
                <xdr:col>1</xdr:col>
                <xdr:colOff>38100</xdr:colOff>
                <xdr:row>17</xdr:row>
                <xdr:rowOff>45720</xdr:rowOff>
              </from>
              <to>
                <xdr:col>5</xdr:col>
                <xdr:colOff>792480</xdr:colOff>
                <xdr:row>18</xdr:row>
                <xdr:rowOff>91440</xdr:rowOff>
              </to>
            </anchor>
          </controlPr>
        </control>
      </mc:Choice>
      <mc:Fallback>
        <control shapeId="4107" r:id="rId4" name="cbDeleteUserFields"/>
      </mc:Fallback>
    </mc:AlternateContent>
  </control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9ECB6A5-94ED-48EF-BE1F-4237D5D518D6}">
  <dimension ref="A1:Y25"/>
  <sheetViews>
    <sheetView workbookViewId="0"/>
  </sheetViews>
  <sheetFormatPr defaultRowHeight="13.2" x14ac:dyDescent="0.25"/>
  <sheetData>
    <row r="1" spans="1:25" x14ac:dyDescent="0.25">
      <c r="A1" t="s">
        <v>141</v>
      </c>
      <c r="B1">
        <v>19</v>
      </c>
      <c r="D1" t="s">
        <v>114</v>
      </c>
      <c r="F1" t="s">
        <v>153</v>
      </c>
    </row>
    <row r="2" spans="1:25" x14ac:dyDescent="0.25">
      <c r="A2" t="s">
        <v>117</v>
      </c>
      <c r="B2">
        <v>8.1999999999999993</v>
      </c>
      <c r="D2" t="s">
        <v>118</v>
      </c>
      <c r="E2">
        <v>81.5</v>
      </c>
      <c r="G2" t="s">
        <v>119</v>
      </c>
      <c r="H2">
        <v>8.1999999999999993</v>
      </c>
      <c r="J2" t="s">
        <v>120</v>
      </c>
      <c r="K2">
        <v>12</v>
      </c>
      <c r="M2" t="s">
        <v>115</v>
      </c>
      <c r="N2">
        <v>1.5</v>
      </c>
      <c r="P2" t="s">
        <v>116</v>
      </c>
      <c r="Q2">
        <v>1.25</v>
      </c>
      <c r="S2" t="s">
        <v>121</v>
      </c>
      <c r="T2">
        <v>0</v>
      </c>
      <c r="V2" t="s">
        <v>122</v>
      </c>
      <c r="W2">
        <v>0</v>
      </c>
    </row>
    <row r="3" spans="1:25" x14ac:dyDescent="0.25">
      <c r="A3" t="s">
        <v>147</v>
      </c>
      <c r="B3">
        <v>384</v>
      </c>
      <c r="D3" t="s">
        <v>158</v>
      </c>
    </row>
    <row r="5" spans="1:25" x14ac:dyDescent="0.25">
      <c r="A5" t="s">
        <v>21</v>
      </c>
      <c r="B5" t="s">
        <v>143</v>
      </c>
      <c r="C5" t="s">
        <v>123</v>
      </c>
      <c r="D5" t="s">
        <v>124</v>
      </c>
      <c r="E5" t="s">
        <v>18</v>
      </c>
      <c r="F5" t="s">
        <v>125</v>
      </c>
      <c r="G5" t="s">
        <v>126</v>
      </c>
      <c r="H5" t="s">
        <v>127</v>
      </c>
      <c r="I5" t="s">
        <v>128</v>
      </c>
      <c r="J5" t="s">
        <v>129</v>
      </c>
      <c r="K5" t="s">
        <v>130</v>
      </c>
      <c r="L5" t="s">
        <v>131</v>
      </c>
      <c r="M5" t="s">
        <v>132</v>
      </c>
      <c r="N5" t="s">
        <v>133</v>
      </c>
      <c r="O5" t="s">
        <v>144</v>
      </c>
      <c r="P5" t="s">
        <v>134</v>
      </c>
      <c r="Q5" t="s">
        <v>145</v>
      </c>
      <c r="R5" t="s">
        <v>27</v>
      </c>
      <c r="S5" t="s">
        <v>135</v>
      </c>
      <c r="T5" t="s">
        <v>24</v>
      </c>
      <c r="U5" t="s">
        <v>25</v>
      </c>
      <c r="V5" t="s">
        <v>148</v>
      </c>
      <c r="W5" t="s">
        <v>149</v>
      </c>
      <c r="X5" t="s">
        <v>150</v>
      </c>
      <c r="Y5" t="s">
        <v>146</v>
      </c>
    </row>
    <row r="6" spans="1:25" x14ac:dyDescent="0.25">
      <c r="A6" t="s">
        <v>136</v>
      </c>
      <c r="B6" t="s">
        <v>136</v>
      </c>
      <c r="C6" t="s">
        <v>136</v>
      </c>
      <c r="D6" t="s">
        <v>137</v>
      </c>
      <c r="E6" t="s">
        <v>137</v>
      </c>
      <c r="F6" t="s">
        <v>138</v>
      </c>
      <c r="G6" t="s">
        <v>138</v>
      </c>
      <c r="H6" t="s">
        <v>139</v>
      </c>
      <c r="I6" t="s">
        <v>139</v>
      </c>
      <c r="J6" t="s">
        <v>140</v>
      </c>
      <c r="K6" t="s">
        <v>140</v>
      </c>
      <c r="L6" t="s">
        <v>140</v>
      </c>
      <c r="M6" t="s">
        <v>140</v>
      </c>
      <c r="N6" t="s">
        <v>137</v>
      </c>
      <c r="O6" t="s">
        <v>137</v>
      </c>
      <c r="P6" t="s">
        <v>137</v>
      </c>
      <c r="Q6" t="s">
        <v>137</v>
      </c>
      <c r="R6" t="s">
        <v>137</v>
      </c>
      <c r="S6" t="s">
        <v>137</v>
      </c>
      <c r="T6" t="s">
        <v>137</v>
      </c>
      <c r="U6" t="s">
        <v>137</v>
      </c>
      <c r="V6" t="s">
        <v>137</v>
      </c>
      <c r="W6" t="s">
        <v>137</v>
      </c>
      <c r="X6" t="s">
        <v>137</v>
      </c>
      <c r="Y6" t="s">
        <v>137</v>
      </c>
    </row>
    <row r="7" spans="1:25" x14ac:dyDescent="0.25">
      <c r="A7">
        <v>-6</v>
      </c>
      <c r="B7">
        <v>-6.0973447219854826</v>
      </c>
      <c r="C7">
        <v>0</v>
      </c>
      <c r="D7">
        <v>0.19900000000000001</v>
      </c>
      <c r="E7">
        <v>728030</v>
      </c>
      <c r="F7">
        <v>68.334999999999994</v>
      </c>
      <c r="G7">
        <v>64.185900000000004</v>
      </c>
      <c r="H7">
        <v>11.223800000000001</v>
      </c>
      <c r="I7">
        <v>0.31109999999999999</v>
      </c>
      <c r="J7">
        <v>-1.1227</v>
      </c>
      <c r="K7">
        <v>-3.8624000000000001</v>
      </c>
      <c r="L7">
        <v>-1.14E-2</v>
      </c>
      <c r="M7">
        <v>0.18110000000000001</v>
      </c>
      <c r="N7">
        <v>-0.19389999999999999</v>
      </c>
      <c r="O7">
        <v>-0.19162966271568224</v>
      </c>
      <c r="P7">
        <v>3.5700000000000003E-2</v>
      </c>
      <c r="Q7">
        <v>3.5673586348324224E-2</v>
      </c>
      <c r="R7">
        <v>6.7000000000000002E-3</v>
      </c>
      <c r="S7">
        <v>1.1000000000000001E-3</v>
      </c>
      <c r="T7">
        <v>2.0831365191093191E-2</v>
      </c>
      <c r="U7">
        <v>-8.2804775893617621E-4</v>
      </c>
      <c r="V7">
        <v>-4.0487917107958609E-3</v>
      </c>
      <c r="W7">
        <v>4.4185595428481564E-2</v>
      </c>
      <c r="X7">
        <v>9.1631484684849412E-2</v>
      </c>
      <c r="Y7">
        <v>5.2042454224665558E-4</v>
      </c>
    </row>
    <row r="8" spans="1:25" x14ac:dyDescent="0.25">
      <c r="A8">
        <v>-4</v>
      </c>
      <c r="B8">
        <v>-4.0514228665171883</v>
      </c>
      <c r="C8">
        <v>0</v>
      </c>
      <c r="D8">
        <v>0.19919999999999999</v>
      </c>
      <c r="E8">
        <v>727760</v>
      </c>
      <c r="F8">
        <v>68.856999999999999</v>
      </c>
      <c r="G8">
        <v>64.695400000000006</v>
      </c>
      <c r="H8">
        <v>11.222200000000001</v>
      </c>
      <c r="I8">
        <v>0.31169999999999998</v>
      </c>
      <c r="J8">
        <v>-0.48699999999999999</v>
      </c>
      <c r="K8">
        <v>-2.1560999999999999</v>
      </c>
      <c r="L8">
        <v>4.0000000000000001E-3</v>
      </c>
      <c r="M8">
        <v>0.20430000000000001</v>
      </c>
      <c r="N8">
        <v>-0.1027</v>
      </c>
      <c r="O8">
        <v>-0.10122938733167186</v>
      </c>
      <c r="P8">
        <v>2.29E-2</v>
      </c>
      <c r="Q8">
        <v>2.2807334674754199E-2</v>
      </c>
      <c r="R8">
        <v>8.2000000000000007E-3</v>
      </c>
      <c r="S8">
        <v>1.2999999999999999E-3</v>
      </c>
      <c r="T8">
        <v>1.2547853741737074E-2</v>
      </c>
      <c r="U8">
        <v>-8.6687906042878153E-4</v>
      </c>
      <c r="V8">
        <v>-3.8557568360683336E-3</v>
      </c>
      <c r="W8">
        <v>4.2543879781584873E-2</v>
      </c>
      <c r="X8">
        <v>9.0630117795164014E-2</v>
      </c>
      <c r="Y8">
        <v>1.8257721448413356E-3</v>
      </c>
    </row>
    <row r="9" spans="1:25" x14ac:dyDescent="0.25">
      <c r="A9">
        <v>-2</v>
      </c>
      <c r="B9">
        <v>-2.0089888413816372</v>
      </c>
      <c r="C9">
        <v>0</v>
      </c>
      <c r="D9">
        <v>0.1993</v>
      </c>
      <c r="E9">
        <v>727610</v>
      </c>
      <c r="F9">
        <v>69.144999999999996</v>
      </c>
      <c r="G9">
        <v>64.977000000000004</v>
      </c>
      <c r="H9">
        <v>11.2219</v>
      </c>
      <c r="I9">
        <v>0.312</v>
      </c>
      <c r="J9">
        <v>0.11119999999999999</v>
      </c>
      <c r="K9">
        <v>-0.58330000000000004</v>
      </c>
      <c r="L9">
        <v>1.32E-2</v>
      </c>
      <c r="M9">
        <v>0.22800000000000001</v>
      </c>
      <c r="N9">
        <v>-1.7999999999999999E-2</v>
      </c>
      <c r="O9">
        <v>-1.7695141626936681E-2</v>
      </c>
      <c r="P9">
        <v>1.72E-2</v>
      </c>
      <c r="Q9">
        <v>1.704092107299475E-2</v>
      </c>
      <c r="R9">
        <v>9.4999999999999998E-3</v>
      </c>
      <c r="S9">
        <v>1.5E-3</v>
      </c>
      <c r="T9">
        <v>5.0676590561747406E-3</v>
      </c>
      <c r="U9">
        <v>-9.3263331760264328E-4</v>
      </c>
      <c r="V9">
        <v>-3.2615961569582518E-3</v>
      </c>
      <c r="W9">
        <v>3.888717937530934E-2</v>
      </c>
      <c r="X9">
        <v>8.3873302444484807E-2</v>
      </c>
      <c r="Y9">
        <v>3.1343101962575371E-3</v>
      </c>
    </row>
    <row r="10" spans="1:25" x14ac:dyDescent="0.25">
      <c r="A10">
        <v>0</v>
      </c>
      <c r="B10">
        <v>2.9185672770527558E-2</v>
      </c>
      <c r="C10">
        <v>0</v>
      </c>
      <c r="D10">
        <v>0.1988</v>
      </c>
      <c r="E10">
        <v>725450</v>
      </c>
      <c r="F10">
        <v>69.417000000000002</v>
      </c>
      <c r="G10">
        <v>65.267399999999995</v>
      </c>
      <c r="H10">
        <v>11.224399999999999</v>
      </c>
      <c r="I10">
        <v>0.3105</v>
      </c>
      <c r="J10">
        <v>0.71130000000000004</v>
      </c>
      <c r="K10">
        <v>0.77300000000000002</v>
      </c>
      <c r="L10">
        <v>2.4899999999999999E-2</v>
      </c>
      <c r="M10">
        <v>0.26040000000000002</v>
      </c>
      <c r="N10">
        <v>5.8599999999999999E-2</v>
      </c>
      <c r="O10">
        <v>5.7453968896028586E-2</v>
      </c>
      <c r="P10">
        <v>1.6E-2</v>
      </c>
      <c r="Q10">
        <v>1.5774426457789384E-2</v>
      </c>
      <c r="R10">
        <v>1.1299999999999999E-2</v>
      </c>
      <c r="S10">
        <v>1.9E-3</v>
      </c>
      <c r="T10">
        <v>-7.6144338805476496E-4</v>
      </c>
      <c r="U10">
        <v>-1.0320282939648112E-3</v>
      </c>
      <c r="V10">
        <v>-2.9167996850416153E-3</v>
      </c>
      <c r="W10">
        <v>3.6679988207600107E-2</v>
      </c>
      <c r="X10">
        <v>7.9520191460619213E-2</v>
      </c>
      <c r="Y10">
        <v>4.4444444444444444E-3</v>
      </c>
    </row>
    <row r="11" spans="1:25" x14ac:dyDescent="0.25">
      <c r="A11">
        <v>2</v>
      </c>
      <c r="B11">
        <v>2.0669575823584352</v>
      </c>
      <c r="C11">
        <v>0</v>
      </c>
      <c r="D11">
        <v>0.1993</v>
      </c>
      <c r="E11">
        <v>726980</v>
      </c>
      <c r="F11">
        <v>69.581000000000003</v>
      </c>
      <c r="G11">
        <v>65.409499999999994</v>
      </c>
      <c r="H11">
        <v>11.223800000000001</v>
      </c>
      <c r="I11">
        <v>0.31209999999999999</v>
      </c>
      <c r="J11">
        <v>1.2928999999999999</v>
      </c>
      <c r="K11">
        <v>2.1488999999999998</v>
      </c>
      <c r="L11">
        <v>2.8400000000000002E-2</v>
      </c>
      <c r="M11">
        <v>0.34860000000000002</v>
      </c>
      <c r="N11">
        <v>0.1348</v>
      </c>
      <c r="O11">
        <v>0.131810525130659</v>
      </c>
      <c r="P11">
        <v>1.7600000000000001E-2</v>
      </c>
      <c r="Q11">
        <v>1.7307931842584019E-2</v>
      </c>
      <c r="R11">
        <v>1.4800000000000001E-2</v>
      </c>
      <c r="S11">
        <v>2.3999999999999998E-3</v>
      </c>
      <c r="T11">
        <v>-6.8210601888367998E-3</v>
      </c>
      <c r="U11">
        <v>-1.3936311553089259E-3</v>
      </c>
      <c r="V11">
        <v>-2.8476752056756584E-3</v>
      </c>
      <c r="W11">
        <v>3.4935842814295258E-2</v>
      </c>
      <c r="X11">
        <v>8.1511564521650232E-2</v>
      </c>
      <c r="Y11">
        <v>5.7545786926313514E-3</v>
      </c>
    </row>
    <row r="12" spans="1:25" x14ac:dyDescent="0.25">
      <c r="A12">
        <v>4</v>
      </c>
      <c r="B12">
        <v>4.1014555726503499</v>
      </c>
      <c r="C12">
        <v>0</v>
      </c>
      <c r="D12">
        <v>0.19839999999999999</v>
      </c>
      <c r="E12">
        <v>723190</v>
      </c>
      <c r="F12">
        <v>69.826999999999998</v>
      </c>
      <c r="G12">
        <v>65.693100000000001</v>
      </c>
      <c r="H12">
        <v>11.226800000000001</v>
      </c>
      <c r="I12">
        <v>0.30919999999999997</v>
      </c>
      <c r="J12">
        <v>1.8093999999999999</v>
      </c>
      <c r="K12">
        <v>3.38</v>
      </c>
      <c r="L12">
        <v>-6.9699999999999998E-2</v>
      </c>
      <c r="M12">
        <v>0.73899999999999999</v>
      </c>
      <c r="N12">
        <v>0.20480000000000001</v>
      </c>
      <c r="O12">
        <v>0.19972215001561594</v>
      </c>
      <c r="P12">
        <v>2.3900000000000001E-2</v>
      </c>
      <c r="Q12">
        <v>2.3541518240824566E-2</v>
      </c>
      <c r="R12">
        <v>2.6599999999999999E-2</v>
      </c>
      <c r="S12">
        <v>2.8999999999999998E-3</v>
      </c>
      <c r="T12">
        <v>-1.235794541276183E-2</v>
      </c>
      <c r="U12">
        <v>-3.4904212202742364E-3</v>
      </c>
      <c r="V12">
        <v>-1.4999530269762468E-3</v>
      </c>
      <c r="W12">
        <v>2.9737012118692521E-2</v>
      </c>
      <c r="X12">
        <v>5.0440609869926531E-2</v>
      </c>
      <c r="Y12">
        <v>7.0631167440475531E-3</v>
      </c>
    </row>
    <row r="13" spans="1:25" x14ac:dyDescent="0.25">
      <c r="A13">
        <v>6</v>
      </c>
      <c r="B13">
        <v>6.1283079917851397</v>
      </c>
      <c r="C13">
        <v>0</v>
      </c>
      <c r="D13">
        <v>0.19819999999999999</v>
      </c>
      <c r="E13">
        <v>722390</v>
      </c>
      <c r="F13">
        <v>69.950999999999993</v>
      </c>
      <c r="G13">
        <v>65.822999999999993</v>
      </c>
      <c r="H13">
        <v>11.2273</v>
      </c>
      <c r="I13">
        <v>0.30869999999999997</v>
      </c>
      <c r="J13">
        <v>2.4918999999999998</v>
      </c>
      <c r="K13">
        <v>4.0994000000000002</v>
      </c>
      <c r="L13">
        <v>-0.11509999999999999</v>
      </c>
      <c r="M13">
        <v>0.84199999999999997</v>
      </c>
      <c r="N13">
        <v>0.25969999999999999</v>
      </c>
      <c r="O13">
        <v>0.25258295147403775</v>
      </c>
      <c r="P13">
        <v>3.5400000000000001E-2</v>
      </c>
      <c r="Q13">
        <v>3.4975266567254547E-2</v>
      </c>
      <c r="R13">
        <v>2.8899999999999999E-2</v>
      </c>
      <c r="S13">
        <v>3.0000000000000001E-3</v>
      </c>
      <c r="T13">
        <v>-1.2912895029067605E-2</v>
      </c>
      <c r="U13">
        <v>-4.1232180865334762E-3</v>
      </c>
      <c r="V13">
        <v>5.8847523683752104E-4</v>
      </c>
      <c r="W13">
        <v>2.4356859620056796E-2</v>
      </c>
      <c r="X13">
        <v>-2.4160554604212511E-2</v>
      </c>
      <c r="Y13">
        <v>8.3684643466422331E-3</v>
      </c>
    </row>
    <row r="14" spans="1:25" x14ac:dyDescent="0.25">
      <c r="A14">
        <v>8</v>
      </c>
      <c r="B14">
        <v>8.1515671361806241</v>
      </c>
      <c r="C14">
        <v>0</v>
      </c>
      <c r="D14">
        <v>0.19689999999999999</v>
      </c>
      <c r="E14">
        <v>717620</v>
      </c>
      <c r="F14">
        <v>70.06</v>
      </c>
      <c r="G14">
        <v>65.984700000000004</v>
      </c>
      <c r="H14">
        <v>11.231299999999999</v>
      </c>
      <c r="I14">
        <v>0.30480000000000002</v>
      </c>
      <c r="J14">
        <v>3.3048999999999999</v>
      </c>
      <c r="K14">
        <v>4.4516</v>
      </c>
      <c r="L14">
        <v>-8.6999999999999994E-2</v>
      </c>
      <c r="M14">
        <v>0.84060000000000001</v>
      </c>
      <c r="N14">
        <v>0.30759999999999998</v>
      </c>
      <c r="O14">
        <v>0.29837014881409157</v>
      </c>
      <c r="P14">
        <v>5.4899999999999997E-2</v>
      </c>
      <c r="Q14">
        <v>5.4409257539332914E-2</v>
      </c>
      <c r="R14">
        <v>3.0300000000000001E-2</v>
      </c>
      <c r="S14">
        <v>3.3E-3</v>
      </c>
      <c r="T14">
        <v>-9.9745550511949697E-3</v>
      </c>
      <c r="U14">
        <v>-4.0582446365983408E-3</v>
      </c>
      <c r="V14">
        <v>1.7953664556949109E-3</v>
      </c>
      <c r="W14">
        <v>2.1861377013886778E-2</v>
      </c>
      <c r="X14">
        <v>-8.2125039724371379E-2</v>
      </c>
      <c r="Y14">
        <v>9.6690311354350137E-3</v>
      </c>
    </row>
    <row r="15" spans="1:25" x14ac:dyDescent="0.25">
      <c r="A15">
        <v>10</v>
      </c>
      <c r="B15">
        <v>10.173227717429782</v>
      </c>
      <c r="C15">
        <v>0</v>
      </c>
      <c r="D15">
        <v>0.19489999999999999</v>
      </c>
      <c r="E15">
        <v>710390</v>
      </c>
      <c r="F15">
        <v>70.244</v>
      </c>
      <c r="G15">
        <v>66.247699999999995</v>
      </c>
      <c r="H15">
        <v>11.237299999999999</v>
      </c>
      <c r="I15">
        <v>0.2989</v>
      </c>
      <c r="J15">
        <v>4.1430999999999996</v>
      </c>
      <c r="K15">
        <v>4.6456999999999997</v>
      </c>
      <c r="L15">
        <v>-7.7399999999999997E-2</v>
      </c>
      <c r="M15">
        <v>0.67849999999999999</v>
      </c>
      <c r="N15">
        <v>0.35249999999999998</v>
      </c>
      <c r="O15">
        <v>0.34101046658726275</v>
      </c>
      <c r="P15">
        <v>7.8700000000000006E-2</v>
      </c>
      <c r="Q15">
        <v>7.814357157889229E-2</v>
      </c>
      <c r="R15">
        <v>2.47E-2</v>
      </c>
      <c r="S15">
        <v>3.0000000000000001E-3</v>
      </c>
      <c r="T15">
        <v>-5.6507818376665521E-3</v>
      </c>
      <c r="U15">
        <v>-3.3693698069928312E-3</v>
      </c>
      <c r="V15">
        <v>2.1387236085183073E-3</v>
      </c>
      <c r="W15">
        <v>2.1091729328186374E-2</v>
      </c>
      <c r="X15">
        <v>-0.10140105513587164</v>
      </c>
      <c r="Y15">
        <v>1.0963232570130708E-2</v>
      </c>
    </row>
    <row r="16" spans="1:25" x14ac:dyDescent="0.25">
      <c r="A16">
        <v>12</v>
      </c>
      <c r="C16">
        <v>0</v>
      </c>
      <c r="D16">
        <v>0.19389999999999999</v>
      </c>
      <c r="E16">
        <v>706690</v>
      </c>
      <c r="F16">
        <v>70.325999999999993</v>
      </c>
      <c r="G16">
        <v>66.371499999999997</v>
      </c>
      <c r="H16">
        <v>11.2424</v>
      </c>
      <c r="I16">
        <v>0.29580000000000001</v>
      </c>
      <c r="J16">
        <v>5.0502000000000002</v>
      </c>
      <c r="K16">
        <v>4.9988999999999999</v>
      </c>
      <c r="L16">
        <v>-6.7000000000000004E-2</v>
      </c>
      <c r="M16">
        <v>0.43680000000000002</v>
      </c>
      <c r="N16">
        <v>0.4037</v>
      </c>
      <c r="P16">
        <v>0.10539999999999999</v>
      </c>
      <c r="R16">
        <v>1.5299999999999999E-2</v>
      </c>
      <c r="S16">
        <v>3.3999999999999998E-3</v>
      </c>
    </row>
    <row r="17" spans="1:19" x14ac:dyDescent="0.25">
      <c r="A17">
        <v>14</v>
      </c>
      <c r="C17">
        <v>0</v>
      </c>
      <c r="D17">
        <v>0.19350000000000001</v>
      </c>
      <c r="E17">
        <v>705300</v>
      </c>
      <c r="F17">
        <v>70.376999999999995</v>
      </c>
      <c r="G17">
        <v>66.436400000000006</v>
      </c>
      <c r="H17">
        <v>11.2425</v>
      </c>
      <c r="I17">
        <v>0.29470000000000002</v>
      </c>
      <c r="J17">
        <v>5.9031000000000002</v>
      </c>
      <c r="K17">
        <v>5.8682999999999996</v>
      </c>
      <c r="L17">
        <v>-0.1459</v>
      </c>
      <c r="M17">
        <v>0.27500000000000002</v>
      </c>
      <c r="N17">
        <v>0.46970000000000001</v>
      </c>
      <c r="P17">
        <v>0.14169999999999999</v>
      </c>
      <c r="R17">
        <v>5.4000000000000003E-3</v>
      </c>
      <c r="S17">
        <v>2.5000000000000001E-3</v>
      </c>
    </row>
    <row r="18" spans="1:19" x14ac:dyDescent="0.25">
      <c r="A18">
        <v>16</v>
      </c>
      <c r="C18">
        <v>0</v>
      </c>
      <c r="D18">
        <v>0.19500000000000001</v>
      </c>
      <c r="E18">
        <v>710380</v>
      </c>
      <c r="F18">
        <v>70.536000000000001</v>
      </c>
      <c r="G18">
        <v>66.532499999999999</v>
      </c>
      <c r="H18">
        <v>11.2379</v>
      </c>
      <c r="I18">
        <v>0.29930000000000001</v>
      </c>
      <c r="J18">
        <v>7.1230000000000002</v>
      </c>
      <c r="K18">
        <v>6.8994999999999997</v>
      </c>
      <c r="L18">
        <v>-0.23219999999999999</v>
      </c>
      <c r="M18">
        <v>0.49359999999999998</v>
      </c>
      <c r="N18">
        <v>0.54510000000000003</v>
      </c>
      <c r="P18">
        <v>0.1847</v>
      </c>
      <c r="R18">
        <v>1.0699999999999999E-2</v>
      </c>
      <c r="S18">
        <v>3.0999999999999999E-3</v>
      </c>
    </row>
    <row r="19" spans="1:19" x14ac:dyDescent="0.25">
      <c r="A19">
        <v>18</v>
      </c>
      <c r="C19">
        <v>0</v>
      </c>
      <c r="D19">
        <v>0.19620000000000001</v>
      </c>
      <c r="E19">
        <v>714260</v>
      </c>
      <c r="F19">
        <v>70.632000000000005</v>
      </c>
      <c r="G19">
        <v>66.578699999999998</v>
      </c>
      <c r="H19">
        <v>11.231299999999999</v>
      </c>
      <c r="I19">
        <v>0.30280000000000001</v>
      </c>
      <c r="J19">
        <v>8.5028000000000006</v>
      </c>
      <c r="K19">
        <v>7.5980999999999996</v>
      </c>
      <c r="L19">
        <v>-0.28610000000000002</v>
      </c>
      <c r="M19">
        <v>0.38700000000000001</v>
      </c>
      <c r="N19">
        <v>0.61040000000000005</v>
      </c>
      <c r="P19">
        <v>0.23280000000000001</v>
      </c>
      <c r="R19">
        <v>4.1000000000000003E-3</v>
      </c>
      <c r="S19">
        <v>3.0999999999999999E-3</v>
      </c>
    </row>
    <row r="20" spans="1:19" x14ac:dyDescent="0.25">
      <c r="A20">
        <v>20</v>
      </c>
      <c r="C20">
        <v>0</v>
      </c>
      <c r="D20">
        <v>0.19600000000000001</v>
      </c>
      <c r="E20">
        <v>713230</v>
      </c>
      <c r="F20">
        <v>70.715999999999994</v>
      </c>
      <c r="G20">
        <v>66.673100000000005</v>
      </c>
      <c r="H20">
        <v>11.2331</v>
      </c>
      <c r="I20">
        <v>0.30199999999999999</v>
      </c>
      <c r="J20">
        <v>9.7125000000000004</v>
      </c>
      <c r="K20">
        <v>8.3095999999999997</v>
      </c>
      <c r="L20">
        <v>-0.4551</v>
      </c>
      <c r="M20">
        <v>0.16669999999999999</v>
      </c>
      <c r="N20">
        <v>0.67449999999999999</v>
      </c>
      <c r="P20">
        <v>0.2878</v>
      </c>
      <c r="R20">
        <v>-1.17E-2</v>
      </c>
      <c r="S20">
        <v>6.9999999999999999E-4</v>
      </c>
    </row>
    <row r="21" spans="1:19" x14ac:dyDescent="0.25">
      <c r="A21">
        <v>16</v>
      </c>
      <c r="C21">
        <v>0</v>
      </c>
      <c r="D21">
        <v>0.1953</v>
      </c>
      <c r="E21">
        <v>710920</v>
      </c>
      <c r="F21">
        <v>70.841999999999999</v>
      </c>
      <c r="G21">
        <v>66.823899999999995</v>
      </c>
      <c r="H21">
        <v>11.237</v>
      </c>
      <c r="I21">
        <v>0.30020000000000002</v>
      </c>
      <c r="J21">
        <v>7.1607000000000003</v>
      </c>
      <c r="K21">
        <v>6.5933000000000002</v>
      </c>
      <c r="L21">
        <v>-0.20480000000000001</v>
      </c>
      <c r="M21">
        <v>0.41799999999999998</v>
      </c>
      <c r="N21">
        <v>0.53439999999999999</v>
      </c>
      <c r="P21">
        <v>0.17630000000000001</v>
      </c>
      <c r="R21">
        <v>8.6999999999999994E-3</v>
      </c>
      <c r="S21">
        <v>3.3E-3</v>
      </c>
    </row>
    <row r="22" spans="1:19" x14ac:dyDescent="0.25">
      <c r="A22">
        <v>12</v>
      </c>
      <c r="C22">
        <v>0</v>
      </c>
      <c r="D22">
        <v>0.19370000000000001</v>
      </c>
      <c r="E22">
        <v>704680</v>
      </c>
      <c r="F22">
        <v>71.02</v>
      </c>
      <c r="G22">
        <v>67.069199999999995</v>
      </c>
      <c r="H22">
        <v>11.242100000000001</v>
      </c>
      <c r="I22">
        <v>0.29509999999999997</v>
      </c>
      <c r="J22">
        <v>4.9824999999999999</v>
      </c>
      <c r="K22">
        <v>5.3190999999999997</v>
      </c>
      <c r="L22">
        <v>-5.4600000000000003E-2</v>
      </c>
      <c r="M22">
        <v>0.36549999999999999</v>
      </c>
      <c r="N22">
        <v>0.41360000000000002</v>
      </c>
      <c r="P22">
        <v>0.11409999999999999</v>
      </c>
      <c r="R22">
        <v>1.29E-2</v>
      </c>
      <c r="S22">
        <v>3.5999999999999999E-3</v>
      </c>
    </row>
    <row r="23" spans="1:19" x14ac:dyDescent="0.25">
      <c r="A23">
        <v>8</v>
      </c>
      <c r="C23">
        <v>0</v>
      </c>
      <c r="D23">
        <v>0.1966</v>
      </c>
      <c r="E23">
        <v>715000</v>
      </c>
      <c r="F23">
        <v>71.143000000000001</v>
      </c>
      <c r="G23">
        <v>67.069800000000001</v>
      </c>
      <c r="H23">
        <v>11.234</v>
      </c>
      <c r="I23">
        <v>0.30399999999999999</v>
      </c>
      <c r="J23">
        <v>3.2583000000000002</v>
      </c>
      <c r="K23">
        <v>4.4063999999999997</v>
      </c>
      <c r="L23">
        <v>1.1299999999999999E-2</v>
      </c>
      <c r="M23">
        <v>0.32650000000000001</v>
      </c>
      <c r="N23">
        <v>0.30259999999999998</v>
      </c>
      <c r="P23">
        <v>6.9699999999999998E-2</v>
      </c>
      <c r="R23">
        <v>1.3599999999999999E-2</v>
      </c>
      <c r="S23">
        <v>3.5000000000000001E-3</v>
      </c>
    </row>
    <row r="24" spans="1:19" x14ac:dyDescent="0.25">
      <c r="A24">
        <v>4</v>
      </c>
      <c r="C24">
        <v>0</v>
      </c>
      <c r="D24">
        <v>0.1983</v>
      </c>
      <c r="E24">
        <v>720650</v>
      </c>
      <c r="F24">
        <v>71.245000000000005</v>
      </c>
      <c r="G24">
        <v>67.100999999999999</v>
      </c>
      <c r="H24">
        <v>11.226800000000001</v>
      </c>
      <c r="I24">
        <v>0.30909999999999999</v>
      </c>
      <c r="J24">
        <v>1.8180000000000001</v>
      </c>
      <c r="K24">
        <v>3.1575000000000002</v>
      </c>
      <c r="L24">
        <v>-2.58E-2</v>
      </c>
      <c r="M24">
        <v>0.51339999999999997</v>
      </c>
      <c r="N24">
        <v>0.19570000000000001</v>
      </c>
      <c r="P24">
        <v>3.2599999999999997E-2</v>
      </c>
      <c r="R24">
        <v>1.9400000000000001E-2</v>
      </c>
      <c r="S24">
        <v>2.8999999999999998E-3</v>
      </c>
    </row>
    <row r="25" spans="1:19" x14ac:dyDescent="0.25">
      <c r="A25">
        <v>0</v>
      </c>
      <c r="C25">
        <v>0</v>
      </c>
      <c r="D25">
        <v>0.19819999999999999</v>
      </c>
      <c r="E25">
        <v>719990</v>
      </c>
      <c r="F25">
        <v>71.430999999999997</v>
      </c>
      <c r="G25">
        <v>67.288799999999995</v>
      </c>
      <c r="H25">
        <v>11.226100000000001</v>
      </c>
      <c r="I25">
        <v>0.30890000000000001</v>
      </c>
      <c r="J25">
        <v>0.6925</v>
      </c>
      <c r="K25">
        <v>0.72189999999999999</v>
      </c>
      <c r="L25">
        <v>7.9000000000000008E-3</v>
      </c>
      <c r="M25">
        <v>0.25080000000000002</v>
      </c>
      <c r="N25">
        <v>5.62E-2</v>
      </c>
      <c r="P25">
        <v>1.77E-2</v>
      </c>
      <c r="R25">
        <v>1.03E-2</v>
      </c>
      <c r="S25">
        <v>2.0999999999999999E-3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67A3DB3-5793-4DED-A70D-11A08A733CD7}">
  <dimension ref="A1:J19"/>
  <sheetViews>
    <sheetView workbookViewId="0"/>
  </sheetViews>
  <sheetFormatPr defaultRowHeight="13.2" x14ac:dyDescent="0.25"/>
  <sheetData>
    <row r="1" spans="1:10" x14ac:dyDescent="0.25">
      <c r="A1" t="s">
        <v>21</v>
      </c>
      <c r="B1" t="s">
        <v>143</v>
      </c>
      <c r="C1" t="s">
        <v>123</v>
      </c>
      <c r="D1" t="s">
        <v>22</v>
      </c>
      <c r="E1" t="s">
        <v>25</v>
      </c>
      <c r="F1" t="s">
        <v>26</v>
      </c>
      <c r="G1" t="s">
        <v>27</v>
      </c>
      <c r="H1" t="s">
        <v>28</v>
      </c>
      <c r="I1" t="s">
        <v>29</v>
      </c>
      <c r="J1" t="s">
        <v>30</v>
      </c>
    </row>
    <row r="2" spans="1:10" x14ac:dyDescent="0.25">
      <c r="A2">
        <v>-6</v>
      </c>
      <c r="B2">
        <v>-6.0973447219854826</v>
      </c>
      <c r="C2">
        <v>0</v>
      </c>
      <c r="D2">
        <v>-0.19162966271568224</v>
      </c>
      <c r="E2">
        <v>-8.2804775893617621E-4</v>
      </c>
      <c r="F2">
        <v>1.1000000000000001E-3</v>
      </c>
      <c r="G2">
        <v>6.7000000000000002E-3</v>
      </c>
      <c r="H2">
        <v>1.7055969684613176E-3</v>
      </c>
      <c r="I2">
        <v>6.8999999999999997E-4</v>
      </c>
      <c r="J2">
        <v>-5.79E-3</v>
      </c>
    </row>
    <row r="3" spans="1:10" x14ac:dyDescent="0.25">
      <c r="A3">
        <v>-4</v>
      </c>
      <c r="B3">
        <v>-4.0514228665171883</v>
      </c>
      <c r="C3">
        <v>0</v>
      </c>
      <c r="D3">
        <v>-0.10122938733167186</v>
      </c>
      <c r="E3">
        <v>-8.6687906042878153E-4</v>
      </c>
      <c r="F3">
        <v>1.2999999999999999E-3</v>
      </c>
      <c r="G3">
        <v>8.2000000000000007E-3</v>
      </c>
      <c r="H3">
        <v>1.7132710274744098E-3</v>
      </c>
      <c r="I3">
        <v>4.8999999999999998E-4</v>
      </c>
      <c r="J3">
        <v>-6.1600000000000005E-3</v>
      </c>
    </row>
    <row r="4" spans="1:10" x14ac:dyDescent="0.25">
      <c r="A4">
        <v>-2</v>
      </c>
      <c r="B4">
        <v>-2.0089888413816372</v>
      </c>
      <c r="C4">
        <v>0</v>
      </c>
      <c r="D4">
        <v>-1.7695141626936681E-2</v>
      </c>
      <c r="E4">
        <v>-9.3263331760264328E-4</v>
      </c>
      <c r="F4">
        <v>1.5E-3</v>
      </c>
      <c r="G4">
        <v>9.4999999999999998E-3</v>
      </c>
      <c r="H4">
        <v>1.6950613993236886E-3</v>
      </c>
      <c r="I4">
        <v>1.7999999999999998E-4</v>
      </c>
      <c r="J4">
        <v>-6.7599999999999995E-3</v>
      </c>
    </row>
    <row r="5" spans="1:10" x14ac:dyDescent="0.25">
      <c r="A5">
        <v>0</v>
      </c>
      <c r="B5">
        <v>2.9185672770527558E-2</v>
      </c>
      <c r="C5">
        <v>0</v>
      </c>
      <c r="D5">
        <v>5.7453968896028586E-2</v>
      </c>
      <c r="E5">
        <v>-1.0320282939648112E-3</v>
      </c>
      <c r="F5">
        <v>1.9E-3</v>
      </c>
      <c r="G5">
        <v>1.1299999999999999E-2</v>
      </c>
      <c r="H5">
        <v>1.6454329187968238E-3</v>
      </c>
      <c r="I5">
        <v>-1.3999999999999999E-4</v>
      </c>
      <c r="J5">
        <v>-7.3499999999999998E-3</v>
      </c>
    </row>
    <row r="6" spans="1:10" x14ac:dyDescent="0.25">
      <c r="A6">
        <v>2</v>
      </c>
      <c r="B6">
        <v>2.0669575823584352</v>
      </c>
      <c r="C6">
        <v>0</v>
      </c>
      <c r="D6">
        <v>0.131810525130659</v>
      </c>
      <c r="E6">
        <v>-1.3936311553089259E-3</v>
      </c>
      <c r="F6">
        <v>2.3999999999999998E-3</v>
      </c>
      <c r="G6">
        <v>1.4800000000000001E-2</v>
      </c>
      <c r="H6">
        <v>1.660768469993618E-3</v>
      </c>
      <c r="I6">
        <v>-4.1999999999999996E-4</v>
      </c>
      <c r="J6">
        <v>-7.62E-3</v>
      </c>
    </row>
    <row r="7" spans="1:10" x14ac:dyDescent="0.25">
      <c r="A7">
        <v>4</v>
      </c>
      <c r="B7">
        <v>4.1014555726503499</v>
      </c>
      <c r="C7">
        <v>0</v>
      </c>
      <c r="D7">
        <v>0.19972215001561594</v>
      </c>
      <c r="E7">
        <v>-3.4904212202742364E-3</v>
      </c>
      <c r="F7">
        <v>2.8999999999999998E-3</v>
      </c>
      <c r="G7">
        <v>2.6599999999999999E-2</v>
      </c>
      <c r="H7">
        <v>1.7626693347388E-3</v>
      </c>
      <c r="I7">
        <v>-6.9999999999999999E-4</v>
      </c>
      <c r="J7">
        <v>-8.0499999999999999E-3</v>
      </c>
    </row>
    <row r="8" spans="1:10" x14ac:dyDescent="0.25">
      <c r="A8">
        <v>6</v>
      </c>
      <c r="B8">
        <v>6.1283079917851397</v>
      </c>
      <c r="C8">
        <v>0</v>
      </c>
      <c r="D8">
        <v>0.25258295147403775</v>
      </c>
      <c r="E8">
        <v>-4.1232180865334762E-3</v>
      </c>
      <c r="F8">
        <v>3.0000000000000001E-3</v>
      </c>
      <c r="G8">
        <v>2.8899999999999999E-2</v>
      </c>
      <c r="H8">
        <v>1.5744089276326753E-3</v>
      </c>
      <c r="I8">
        <v>-9.0000000000000008E-4</v>
      </c>
      <c r="J8">
        <v>-6.4000000000000003E-3</v>
      </c>
    </row>
    <row r="9" spans="1:10" x14ac:dyDescent="0.25">
      <c r="A9">
        <v>8</v>
      </c>
      <c r="B9">
        <v>8.1515671361806241</v>
      </c>
      <c r="C9">
        <v>0</v>
      </c>
      <c r="D9">
        <v>0.29837014881409157</v>
      </c>
      <c r="E9">
        <v>-4.0582446365983408E-3</v>
      </c>
      <c r="F9">
        <v>3.3E-3</v>
      </c>
      <c r="G9">
        <v>3.0300000000000001E-2</v>
      </c>
      <c r="H9">
        <v>1.3920590897268709E-3</v>
      </c>
      <c r="I9">
        <v>-1.2899999999999999E-3</v>
      </c>
      <c r="J9">
        <v>-5.2699999999999995E-3</v>
      </c>
    </row>
    <row r="10" spans="1:10" x14ac:dyDescent="0.25">
      <c r="A10">
        <v>10</v>
      </c>
      <c r="B10">
        <v>10.173227717429782</v>
      </c>
      <c r="C10">
        <v>0</v>
      </c>
      <c r="D10">
        <v>0.34101046658726275</v>
      </c>
      <c r="E10">
        <v>-3.3693698069928312E-3</v>
      </c>
      <c r="F10">
        <v>3.0000000000000001E-3</v>
      </c>
      <c r="G10">
        <v>2.47E-2</v>
      </c>
      <c r="H10">
        <v>1.5712427370881215E-3</v>
      </c>
      <c r="I10">
        <v>-1.4700000000000002E-3</v>
      </c>
      <c r="J10">
        <v>-4.2300000000000003E-3</v>
      </c>
    </row>
    <row r="11" spans="1:10" x14ac:dyDescent="0.25">
      <c r="A11">
        <v>-6</v>
      </c>
      <c r="B11">
        <v>-6.0837395545496573</v>
      </c>
      <c r="C11">
        <v>10</v>
      </c>
      <c r="D11">
        <v>-0.16484697133045795</v>
      </c>
      <c r="E11">
        <v>1.6227921925677E-2</v>
      </c>
      <c r="F11">
        <v>8.0000000000000002E-3</v>
      </c>
      <c r="G11">
        <v>-5.1200000000000002E-2</v>
      </c>
      <c r="H11">
        <v>1.7055969684613176E-3</v>
      </c>
      <c r="I11">
        <v>6.8999999999999997E-4</v>
      </c>
      <c r="J11">
        <v>-5.79E-3</v>
      </c>
    </row>
    <row r="12" spans="1:10" x14ac:dyDescent="0.25">
      <c r="A12">
        <v>-4</v>
      </c>
      <c r="B12">
        <v>-4.0409079668398666</v>
      </c>
      <c r="C12">
        <v>10</v>
      </c>
      <c r="D12">
        <v>-8.0530096835419576E-2</v>
      </c>
      <c r="E12">
        <v>1.6265831214315317E-2</v>
      </c>
      <c r="F12">
        <v>6.1999999999999998E-3</v>
      </c>
      <c r="G12">
        <v>-5.3400000000000003E-2</v>
      </c>
      <c r="H12">
        <v>1.7132710274744098E-3</v>
      </c>
      <c r="I12">
        <v>4.8999999999999998E-4</v>
      </c>
      <c r="J12">
        <v>-6.1600000000000005E-3</v>
      </c>
    </row>
    <row r="13" spans="1:10" x14ac:dyDescent="0.25">
      <c r="A13">
        <v>-2</v>
      </c>
      <c r="B13">
        <v>-2.0037453505756821</v>
      </c>
      <c r="C13">
        <v>10</v>
      </c>
      <c r="D13">
        <v>-7.3729756778902842E-3</v>
      </c>
      <c r="E13">
        <v>1.6017980675634241E-2</v>
      </c>
      <c r="F13">
        <v>3.3E-3</v>
      </c>
      <c r="G13">
        <v>-5.8099999999999999E-2</v>
      </c>
      <c r="H13">
        <v>1.6950613993236886E-3</v>
      </c>
      <c r="I13">
        <v>1.7999999999999998E-4</v>
      </c>
      <c r="J13">
        <v>-6.7599999999999995E-3</v>
      </c>
    </row>
    <row r="14" spans="1:10" x14ac:dyDescent="0.25">
      <c r="A14">
        <v>0</v>
      </c>
      <c r="B14">
        <v>2.9882941403270542E-2</v>
      </c>
      <c r="C14">
        <v>10</v>
      </c>
      <c r="D14">
        <v>5.8826589313339846E-2</v>
      </c>
      <c r="E14">
        <v>1.5422300894003427E-2</v>
      </c>
      <c r="F14">
        <v>5.0000000000000001E-4</v>
      </c>
      <c r="G14">
        <v>-6.2199999999999998E-2</v>
      </c>
      <c r="H14">
        <v>1.6454329187968238E-3</v>
      </c>
      <c r="I14">
        <v>-1.3999999999999999E-4</v>
      </c>
      <c r="J14">
        <v>-7.3499999999999998E-3</v>
      </c>
    </row>
    <row r="15" spans="1:10" x14ac:dyDescent="0.25">
      <c r="A15">
        <v>2</v>
      </c>
      <c r="B15">
        <v>2.0658151310273936</v>
      </c>
      <c r="C15">
        <v>10</v>
      </c>
      <c r="D15">
        <v>0.12956153249118929</v>
      </c>
      <c r="E15">
        <v>1.5214053544627253E-2</v>
      </c>
      <c r="F15">
        <v>-1.8E-3</v>
      </c>
      <c r="G15">
        <v>-6.1400000000000003E-2</v>
      </c>
      <c r="H15">
        <v>1.660768469993618E-3</v>
      </c>
      <c r="I15">
        <v>-4.1999999999999996E-4</v>
      </c>
      <c r="J15">
        <v>-7.62E-3</v>
      </c>
    </row>
    <row r="16" spans="1:10" x14ac:dyDescent="0.25">
      <c r="A16">
        <v>4</v>
      </c>
      <c r="B16">
        <v>4.102892199411512</v>
      </c>
      <c r="C16">
        <v>10</v>
      </c>
      <c r="D16">
        <v>0.20255024686642298</v>
      </c>
      <c r="E16">
        <v>1.4136272127113762E-2</v>
      </c>
      <c r="F16">
        <v>-4.1000000000000003E-3</v>
      </c>
      <c r="G16">
        <v>-5.3900000000000003E-2</v>
      </c>
      <c r="H16">
        <v>1.7626693347388E-3</v>
      </c>
      <c r="I16">
        <v>-6.9999999999999999E-4</v>
      </c>
      <c r="J16">
        <v>-8.0499999999999999E-3</v>
      </c>
    </row>
    <row r="17" spans="1:10" x14ac:dyDescent="0.25">
      <c r="A17">
        <v>6</v>
      </c>
      <c r="B17">
        <v>6.1375469576934263</v>
      </c>
      <c r="C17">
        <v>10</v>
      </c>
      <c r="D17">
        <v>0.27077048013235316</v>
      </c>
      <c r="E17">
        <v>1.1620871189793276E-2</v>
      </c>
      <c r="F17">
        <v>-6.0000000000000001E-3</v>
      </c>
      <c r="G17">
        <v>-3.5099999999999999E-2</v>
      </c>
      <c r="H17">
        <v>1.5744089276326753E-3</v>
      </c>
      <c r="I17">
        <v>-9.0000000000000008E-4</v>
      </c>
      <c r="J17">
        <v>-6.4000000000000003E-3</v>
      </c>
    </row>
    <row r="18" spans="1:10" x14ac:dyDescent="0.25">
      <c r="A18">
        <v>8</v>
      </c>
      <c r="B18">
        <v>8.1717695177911747</v>
      </c>
      <c r="C18">
        <v>10</v>
      </c>
      <c r="D18">
        <v>0.33813990206954592</v>
      </c>
      <c r="E18">
        <v>9.8623462606703682E-3</v>
      </c>
      <c r="F18">
        <v>-9.5999999999999992E-3</v>
      </c>
      <c r="G18">
        <v>-2.24E-2</v>
      </c>
      <c r="H18">
        <v>1.3920590897268709E-3</v>
      </c>
      <c r="I18">
        <v>-1.2899999999999999E-3</v>
      </c>
      <c r="J18">
        <v>-5.2699999999999995E-3</v>
      </c>
    </row>
    <row r="19" spans="1:10" x14ac:dyDescent="0.25">
      <c r="A19">
        <v>10</v>
      </c>
      <c r="B19">
        <v>10.199912157306201</v>
      </c>
      <c r="C19">
        <v>10</v>
      </c>
      <c r="D19">
        <v>0.39354058952538579</v>
      </c>
      <c r="E19">
        <v>1.2343057563888383E-2</v>
      </c>
      <c r="F19">
        <v>-1.17E-2</v>
      </c>
      <c r="G19">
        <v>-1.7600000000000001E-2</v>
      </c>
      <c r="H19">
        <v>1.5712427370881215E-3</v>
      </c>
      <c r="I19">
        <v>-1.4700000000000002E-3</v>
      </c>
      <c r="J19">
        <v>-4.2300000000000003E-3</v>
      </c>
    </row>
  </sheetData>
  <sortState xmlns:xlrd2="http://schemas.microsoft.com/office/spreadsheetml/2017/richdata2" ref="A2:J19">
    <sortCondition ref="C2"/>
    <sortCondition ref="A2"/>
  </sortState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BCB507A-6A2C-4FC9-9763-E3EAC8A56AF9}">
  <dimension ref="A1:Y25"/>
  <sheetViews>
    <sheetView workbookViewId="0"/>
  </sheetViews>
  <sheetFormatPr defaultRowHeight="13.2" x14ac:dyDescent="0.25"/>
  <sheetData>
    <row r="1" spans="1:25" x14ac:dyDescent="0.25">
      <c r="A1" t="s">
        <v>141</v>
      </c>
      <c r="B1">
        <v>19</v>
      </c>
      <c r="D1" t="s">
        <v>142</v>
      </c>
      <c r="F1" t="s">
        <v>156</v>
      </c>
    </row>
    <row r="2" spans="1:25" x14ac:dyDescent="0.25">
      <c r="A2" t="s">
        <v>117</v>
      </c>
      <c r="B2">
        <v>8.1999999999999993</v>
      </c>
      <c r="D2" t="s">
        <v>118</v>
      </c>
      <c r="E2">
        <v>81.5</v>
      </c>
      <c r="G2" t="s">
        <v>119</v>
      </c>
      <c r="H2">
        <v>8.1999999999999993</v>
      </c>
      <c r="J2" t="s">
        <v>120</v>
      </c>
      <c r="K2">
        <v>12</v>
      </c>
      <c r="M2" t="s">
        <v>115</v>
      </c>
      <c r="N2">
        <v>1.5</v>
      </c>
      <c r="P2" t="s">
        <v>116</v>
      </c>
      <c r="Q2">
        <v>1.25</v>
      </c>
      <c r="S2" t="s">
        <v>121</v>
      </c>
      <c r="T2">
        <v>0</v>
      </c>
      <c r="V2" t="s">
        <v>122</v>
      </c>
      <c r="W2">
        <v>0</v>
      </c>
    </row>
    <row r="3" spans="1:25" x14ac:dyDescent="0.25">
      <c r="A3" t="s">
        <v>147</v>
      </c>
      <c r="B3">
        <v>384</v>
      </c>
      <c r="D3" t="s">
        <v>158</v>
      </c>
    </row>
    <row r="5" spans="1:25" x14ac:dyDescent="0.25">
      <c r="A5" t="s">
        <v>21</v>
      </c>
      <c r="B5" t="s">
        <v>143</v>
      </c>
      <c r="C5" t="s">
        <v>123</v>
      </c>
      <c r="D5" t="s">
        <v>124</v>
      </c>
      <c r="E5" t="s">
        <v>18</v>
      </c>
      <c r="F5" t="s">
        <v>125</v>
      </c>
      <c r="G5" t="s">
        <v>126</v>
      </c>
      <c r="H5" t="s">
        <v>127</v>
      </c>
      <c r="I5" t="s">
        <v>128</v>
      </c>
      <c r="J5" t="s">
        <v>129</v>
      </c>
      <c r="K5" t="s">
        <v>130</v>
      </c>
      <c r="L5" t="s">
        <v>131</v>
      </c>
      <c r="M5" t="s">
        <v>132</v>
      </c>
      <c r="N5" t="s">
        <v>133</v>
      </c>
      <c r="O5" t="s">
        <v>144</v>
      </c>
      <c r="P5" t="s">
        <v>134</v>
      </c>
      <c r="Q5" t="s">
        <v>145</v>
      </c>
      <c r="R5" t="s">
        <v>27</v>
      </c>
      <c r="S5" t="s">
        <v>135</v>
      </c>
      <c r="T5" t="s">
        <v>24</v>
      </c>
      <c r="U5" t="s">
        <v>25</v>
      </c>
      <c r="V5" t="s">
        <v>148</v>
      </c>
      <c r="W5" t="s">
        <v>149</v>
      </c>
      <c r="X5" t="s">
        <v>150</v>
      </c>
      <c r="Y5" t="s">
        <v>146</v>
      </c>
    </row>
    <row r="6" spans="1:25" x14ac:dyDescent="0.25">
      <c r="A6" t="s">
        <v>136</v>
      </c>
      <c r="B6" t="s">
        <v>136</v>
      </c>
      <c r="C6" t="s">
        <v>136</v>
      </c>
      <c r="D6" t="s">
        <v>137</v>
      </c>
      <c r="E6" t="s">
        <v>137</v>
      </c>
      <c r="F6" t="s">
        <v>138</v>
      </c>
      <c r="G6" t="s">
        <v>138</v>
      </c>
      <c r="H6" t="s">
        <v>139</v>
      </c>
      <c r="I6" t="s">
        <v>139</v>
      </c>
      <c r="J6" t="s">
        <v>140</v>
      </c>
      <c r="K6" t="s">
        <v>140</v>
      </c>
      <c r="L6" t="s">
        <v>140</v>
      </c>
      <c r="M6" t="s">
        <v>140</v>
      </c>
      <c r="N6" t="s">
        <v>137</v>
      </c>
      <c r="O6" t="s">
        <v>137</v>
      </c>
      <c r="P6" t="s">
        <v>137</v>
      </c>
      <c r="Q6" t="s">
        <v>137</v>
      </c>
      <c r="R6" t="s">
        <v>137</v>
      </c>
      <c r="S6" t="s">
        <v>137</v>
      </c>
      <c r="T6" t="s">
        <v>137</v>
      </c>
      <c r="U6" t="s">
        <v>137</v>
      </c>
      <c r="V6" t="s">
        <v>137</v>
      </c>
      <c r="W6" t="s">
        <v>137</v>
      </c>
      <c r="X6" t="s">
        <v>137</v>
      </c>
      <c r="Y6" t="s">
        <v>137</v>
      </c>
    </row>
    <row r="7" spans="1:25" x14ac:dyDescent="0.25">
      <c r="A7">
        <v>-6</v>
      </c>
      <c r="B7">
        <v>-6.0837395545496573</v>
      </c>
      <c r="C7">
        <v>10</v>
      </c>
      <c r="D7">
        <v>0.20150000000000001</v>
      </c>
      <c r="E7">
        <v>716890</v>
      </c>
      <c r="F7">
        <v>73.635999999999996</v>
      </c>
      <c r="G7">
        <v>69.342299999999994</v>
      </c>
      <c r="H7">
        <v>11.0548</v>
      </c>
      <c r="I7">
        <v>0.314</v>
      </c>
      <c r="J7">
        <v>-1.0924</v>
      </c>
      <c r="K7">
        <v>-3.2357999999999998</v>
      </c>
      <c r="L7">
        <v>1.3033999999999999</v>
      </c>
      <c r="M7">
        <v>-2.6135000000000002</v>
      </c>
      <c r="N7">
        <v>-0.1668</v>
      </c>
      <c r="O7">
        <v>-0.16484697133045795</v>
      </c>
      <c r="P7">
        <v>3.1199999999999999E-2</v>
      </c>
      <c r="Q7">
        <v>3.1176077818541394E-2</v>
      </c>
      <c r="R7">
        <v>-5.1200000000000002E-2</v>
      </c>
      <c r="S7">
        <v>8.0000000000000002E-3</v>
      </c>
      <c r="T7">
        <v>1.6239236427329568E-2</v>
      </c>
      <c r="U7">
        <v>1.6227921925677E-2</v>
      </c>
      <c r="V7">
        <v>-4.0296430852220129E-3</v>
      </c>
      <c r="W7">
        <v>4.1274510832077761E-2</v>
      </c>
      <c r="X7">
        <v>9.7630305095954065E-2</v>
      </c>
      <c r="Y7">
        <v>5.2042454224665558E-4</v>
      </c>
    </row>
    <row r="8" spans="1:25" x14ac:dyDescent="0.25">
      <c r="A8">
        <v>-4</v>
      </c>
      <c r="B8">
        <v>-4.0409079668398666</v>
      </c>
      <c r="C8">
        <v>10</v>
      </c>
      <c r="D8">
        <v>0.20219999999999999</v>
      </c>
      <c r="E8">
        <v>719300</v>
      </c>
      <c r="F8">
        <v>73.739000000000004</v>
      </c>
      <c r="G8">
        <v>69.412599999999998</v>
      </c>
      <c r="H8">
        <v>11.0524</v>
      </c>
      <c r="I8">
        <v>0.31630000000000003</v>
      </c>
      <c r="J8">
        <v>-0.53510000000000002</v>
      </c>
      <c r="K8">
        <v>-1.603</v>
      </c>
      <c r="L8">
        <v>1.2873000000000001</v>
      </c>
      <c r="M8">
        <v>-2.6646000000000001</v>
      </c>
      <c r="N8">
        <v>-8.1699999999999995E-2</v>
      </c>
      <c r="O8">
        <v>-8.0530096835419576E-2</v>
      </c>
      <c r="P8">
        <v>2.0199999999999999E-2</v>
      </c>
      <c r="Q8">
        <v>2.0116075340408792E-2</v>
      </c>
      <c r="R8">
        <v>-5.3400000000000003E-2</v>
      </c>
      <c r="S8">
        <v>6.1999999999999998E-3</v>
      </c>
      <c r="T8">
        <v>8.0073542456417044E-3</v>
      </c>
      <c r="U8">
        <v>1.6265831214315317E-2</v>
      </c>
      <c r="V8">
        <v>-3.7534273250220012E-3</v>
      </c>
      <c r="W8">
        <v>3.8596622392057731E-2</v>
      </c>
      <c r="X8">
        <v>9.724755930442161E-2</v>
      </c>
      <c r="Y8">
        <v>1.8257721448413356E-3</v>
      </c>
    </row>
    <row r="9" spans="1:25" x14ac:dyDescent="0.25">
      <c r="A9">
        <v>-2</v>
      </c>
      <c r="B9">
        <v>-2.0037453505756821</v>
      </c>
      <c r="C9">
        <v>10</v>
      </c>
      <c r="D9">
        <v>0.2021</v>
      </c>
      <c r="E9">
        <v>718560</v>
      </c>
      <c r="F9">
        <v>73.867999999999995</v>
      </c>
      <c r="G9">
        <v>69.546999999999997</v>
      </c>
      <c r="H9">
        <v>11.052899999999999</v>
      </c>
      <c r="I9">
        <v>0.31590000000000001</v>
      </c>
      <c r="J9">
        <v>-4.0399999999999998E-2</v>
      </c>
      <c r="K9">
        <v>-0.1651</v>
      </c>
      <c r="L9">
        <v>1.1923999999999999</v>
      </c>
      <c r="M9">
        <v>-2.6869000000000001</v>
      </c>
      <c r="N9">
        <v>-7.4999999999999997E-3</v>
      </c>
      <c r="O9">
        <v>-7.3729756778902842E-3</v>
      </c>
      <c r="P9">
        <v>1.54E-2</v>
      </c>
      <c r="Q9">
        <v>1.5255926207978696E-2</v>
      </c>
      <c r="R9">
        <v>-5.8099999999999999E-2</v>
      </c>
      <c r="S9">
        <v>3.3E-3</v>
      </c>
      <c r="T9">
        <v>9.2527469620226274E-4</v>
      </c>
      <c r="U9">
        <v>1.6017980675634241E-2</v>
      </c>
      <c r="V9">
        <v>-3.2289960752546632E-3</v>
      </c>
      <c r="W9">
        <v>3.4233319590689239E-2</v>
      </c>
      <c r="X9">
        <v>9.4323194883293882E-2</v>
      </c>
      <c r="Y9">
        <v>3.1343101962575371E-3</v>
      </c>
    </row>
    <row r="10" spans="1:25" x14ac:dyDescent="0.25">
      <c r="A10">
        <v>0</v>
      </c>
      <c r="B10">
        <v>2.9882941403270542E-2</v>
      </c>
      <c r="C10">
        <v>10</v>
      </c>
      <c r="D10">
        <v>0.20169999999999999</v>
      </c>
      <c r="E10">
        <v>716940</v>
      </c>
      <c r="F10">
        <v>74.019000000000005</v>
      </c>
      <c r="G10">
        <v>69.7136</v>
      </c>
      <c r="H10">
        <v>11.0541</v>
      </c>
      <c r="I10">
        <v>0.31469999999999998</v>
      </c>
      <c r="J10">
        <v>0.42970000000000003</v>
      </c>
      <c r="K10">
        <v>1.1102000000000001</v>
      </c>
      <c r="L10">
        <v>1.0583</v>
      </c>
      <c r="M10">
        <v>-2.6539000000000001</v>
      </c>
      <c r="N10">
        <v>0.06</v>
      </c>
      <c r="O10">
        <v>5.8826589313339846E-2</v>
      </c>
      <c r="P10">
        <v>1.47E-2</v>
      </c>
      <c r="Q10">
        <v>1.4495703703703703E-2</v>
      </c>
      <c r="R10">
        <v>-6.2199999999999998E-2</v>
      </c>
      <c r="S10">
        <v>5.0000000000000001E-4</v>
      </c>
      <c r="T10">
        <v>-5.1372136202577504E-3</v>
      </c>
      <c r="U10">
        <v>1.5422300894003427E-2</v>
      </c>
      <c r="V10">
        <v>-2.8937290904059855E-3</v>
      </c>
      <c r="W10">
        <v>3.3648475993441562E-2</v>
      </c>
      <c r="X10">
        <v>8.5998815844438345E-2</v>
      </c>
      <c r="Y10">
        <v>4.4444444444444444E-3</v>
      </c>
    </row>
    <row r="11" spans="1:25" x14ac:dyDescent="0.25">
      <c r="A11">
        <v>2</v>
      </c>
      <c r="B11">
        <v>2.0658151310273936</v>
      </c>
      <c r="C11">
        <v>10</v>
      </c>
      <c r="D11">
        <v>0.20150000000000001</v>
      </c>
      <c r="E11">
        <v>716240</v>
      </c>
      <c r="F11">
        <v>74.171999999999997</v>
      </c>
      <c r="G11">
        <v>69.871499999999997</v>
      </c>
      <c r="H11">
        <v>11.0555</v>
      </c>
      <c r="I11">
        <v>0.31419999999999998</v>
      </c>
      <c r="J11">
        <v>0.98619999999999997</v>
      </c>
      <c r="K11">
        <v>2.4203999999999999</v>
      </c>
      <c r="L11">
        <v>1.0418000000000001</v>
      </c>
      <c r="M11">
        <v>-2.6143999999999998</v>
      </c>
      <c r="N11">
        <v>0.13250000000000001</v>
      </c>
      <c r="O11">
        <v>0.12956153249118929</v>
      </c>
      <c r="P11">
        <v>1.67E-2</v>
      </c>
      <c r="Q11">
        <v>1.6435481199428711E-2</v>
      </c>
      <c r="R11">
        <v>-6.1400000000000003E-2</v>
      </c>
      <c r="S11">
        <v>-1.8E-3</v>
      </c>
      <c r="T11">
        <v>-1.085093085457915E-2</v>
      </c>
      <c r="U11">
        <v>1.5214053544627253E-2</v>
      </c>
      <c r="V11">
        <v>-2.8862580418349956E-3</v>
      </c>
      <c r="W11">
        <v>3.5286847745434793E-2</v>
      </c>
      <c r="X11">
        <v>8.179415919089579E-2</v>
      </c>
      <c r="Y11">
        <v>5.7545786926313514E-3</v>
      </c>
    </row>
    <row r="12" spans="1:25" x14ac:dyDescent="0.25">
      <c r="A12">
        <v>4</v>
      </c>
      <c r="B12">
        <v>4.102892199411512</v>
      </c>
      <c r="C12">
        <v>10</v>
      </c>
      <c r="D12">
        <v>0.2011</v>
      </c>
      <c r="E12">
        <v>714910</v>
      </c>
      <c r="F12">
        <v>74.150999999999996</v>
      </c>
      <c r="G12">
        <v>69.866699999999994</v>
      </c>
      <c r="H12">
        <v>11.0557</v>
      </c>
      <c r="I12">
        <v>0.31309999999999999</v>
      </c>
      <c r="J12">
        <v>1.548</v>
      </c>
      <c r="K12">
        <v>3.778</v>
      </c>
      <c r="L12">
        <v>1.0071000000000001</v>
      </c>
      <c r="M12">
        <v>-2.3824999999999998</v>
      </c>
      <c r="N12">
        <v>0.2077</v>
      </c>
      <c r="O12">
        <v>0.20255024686642298</v>
      </c>
      <c r="P12">
        <v>2.24E-2</v>
      </c>
      <c r="Q12">
        <v>2.2075332066998615E-2</v>
      </c>
      <c r="R12">
        <v>-5.3900000000000003E-2</v>
      </c>
      <c r="S12">
        <v>-4.1000000000000003E-3</v>
      </c>
      <c r="T12">
        <v>-1.6892969345652424E-2</v>
      </c>
      <c r="U12">
        <v>1.4136272127113762E-2</v>
      </c>
      <c r="V12">
        <v>-2.4150407646360028E-3</v>
      </c>
      <c r="W12">
        <v>3.4680316300886374E-2</v>
      </c>
      <c r="X12">
        <v>6.9637218521397343E-2</v>
      </c>
      <c r="Y12">
        <v>7.0631167440475531E-3</v>
      </c>
    </row>
    <row r="13" spans="1:25" x14ac:dyDescent="0.25">
      <c r="A13">
        <v>6</v>
      </c>
      <c r="B13">
        <v>6.1375469576934263</v>
      </c>
      <c r="C13">
        <v>10</v>
      </c>
      <c r="D13">
        <v>0.20030000000000001</v>
      </c>
      <c r="E13">
        <v>711820</v>
      </c>
      <c r="F13">
        <v>74.293999999999997</v>
      </c>
      <c r="G13">
        <v>70.044399999999996</v>
      </c>
      <c r="H13">
        <v>11.0593</v>
      </c>
      <c r="I13">
        <v>0.3105</v>
      </c>
      <c r="J13">
        <v>2.1970000000000001</v>
      </c>
      <c r="K13">
        <v>4.8936000000000002</v>
      </c>
      <c r="L13">
        <v>0.94330000000000003</v>
      </c>
      <c r="M13">
        <v>-1.8324</v>
      </c>
      <c r="N13">
        <v>0.27839999999999998</v>
      </c>
      <c r="O13">
        <v>0.27077048013235316</v>
      </c>
      <c r="P13">
        <v>3.1600000000000003E-2</v>
      </c>
      <c r="Q13">
        <v>3.1215329588866018E-2</v>
      </c>
      <c r="R13">
        <v>-3.5099999999999999E-2</v>
      </c>
      <c r="S13">
        <v>-6.0000000000000001E-3</v>
      </c>
      <c r="T13">
        <v>-2.0684329198643436E-2</v>
      </c>
      <c r="U13">
        <v>1.1620871189793276E-2</v>
      </c>
      <c r="V13">
        <v>-4.5258651930229213E-4</v>
      </c>
      <c r="W13">
        <v>3.3323603685627569E-2</v>
      </c>
      <c r="X13">
        <v>1.3581559892860333E-2</v>
      </c>
      <c r="Y13">
        <v>8.3684643466422331E-3</v>
      </c>
    </row>
    <row r="14" spans="1:25" x14ac:dyDescent="0.25">
      <c r="A14">
        <v>8</v>
      </c>
      <c r="B14">
        <v>8.1717695177911747</v>
      </c>
      <c r="C14">
        <v>10</v>
      </c>
      <c r="D14">
        <v>0.19789999999999999</v>
      </c>
      <c r="E14">
        <v>703870</v>
      </c>
      <c r="F14">
        <v>74.174999999999997</v>
      </c>
      <c r="G14">
        <v>70.026499999999999</v>
      </c>
      <c r="H14">
        <v>11.067600000000001</v>
      </c>
      <c r="I14">
        <v>0.3034</v>
      </c>
      <c r="J14">
        <v>3.1854</v>
      </c>
      <c r="K14">
        <v>5.5057999999999998</v>
      </c>
      <c r="L14">
        <v>0.879</v>
      </c>
      <c r="M14">
        <v>-1.4326000000000001</v>
      </c>
      <c r="N14">
        <v>0.34860000000000002</v>
      </c>
      <c r="O14">
        <v>0.33813990206954592</v>
      </c>
      <c r="P14">
        <v>4.5199999999999997E-2</v>
      </c>
      <c r="Q14">
        <v>4.4755546868807838E-2</v>
      </c>
      <c r="R14">
        <v>-2.24E-2</v>
      </c>
      <c r="S14">
        <v>-9.5999999999999992E-3</v>
      </c>
      <c r="T14">
        <v>-1.873448836864592E-2</v>
      </c>
      <c r="U14">
        <v>9.8623462606703682E-3</v>
      </c>
      <c r="V14">
        <v>1.1098836980858117E-3</v>
      </c>
      <c r="W14">
        <v>3.0221337413173753E-2</v>
      </c>
      <c r="X14">
        <v>-3.6725168145669271E-2</v>
      </c>
      <c r="Y14">
        <v>9.6690311354350137E-3</v>
      </c>
    </row>
    <row r="15" spans="1:25" x14ac:dyDescent="0.25">
      <c r="A15">
        <v>10</v>
      </c>
      <c r="B15">
        <v>10.199912157306201</v>
      </c>
      <c r="C15">
        <v>10</v>
      </c>
      <c r="D15">
        <v>0.19869999999999999</v>
      </c>
      <c r="E15">
        <v>706470</v>
      </c>
      <c r="F15">
        <v>74.296000000000006</v>
      </c>
      <c r="G15">
        <v>70.111000000000004</v>
      </c>
      <c r="H15">
        <v>11.0631</v>
      </c>
      <c r="I15">
        <v>0.30590000000000001</v>
      </c>
      <c r="J15">
        <v>4.1639999999999997</v>
      </c>
      <c r="K15">
        <v>6.1077000000000004</v>
      </c>
      <c r="L15">
        <v>1.2456</v>
      </c>
      <c r="M15">
        <v>-1.6851</v>
      </c>
      <c r="N15">
        <v>0.40679999999999999</v>
      </c>
      <c r="O15">
        <v>0.39354058952538579</v>
      </c>
      <c r="P15">
        <v>6.59E-2</v>
      </c>
      <c r="Q15">
        <v>6.5396056742859657E-2</v>
      </c>
      <c r="R15">
        <v>-1.7600000000000001E-2</v>
      </c>
      <c r="S15">
        <v>-1.17E-2</v>
      </c>
      <c r="T15">
        <v>-1.6175576287922103E-2</v>
      </c>
      <c r="U15">
        <v>1.2343057563888383E-2</v>
      </c>
      <c r="V15">
        <v>1.2617022249163444E-3</v>
      </c>
      <c r="W15">
        <v>2.7315971952094745E-2</v>
      </c>
      <c r="X15">
        <v>-4.6189175590348706E-2</v>
      </c>
      <c r="Y15">
        <v>1.0963232570130708E-2</v>
      </c>
    </row>
    <row r="16" spans="1:25" x14ac:dyDescent="0.25">
      <c r="A16">
        <v>12</v>
      </c>
      <c r="C16">
        <v>10</v>
      </c>
      <c r="D16">
        <v>0.1986</v>
      </c>
      <c r="E16">
        <v>705760</v>
      </c>
      <c r="F16">
        <v>74.375</v>
      </c>
      <c r="G16">
        <v>70.1965</v>
      </c>
      <c r="H16">
        <v>11.063599999999999</v>
      </c>
      <c r="I16">
        <v>0.3054</v>
      </c>
      <c r="J16">
        <v>4.9984000000000002</v>
      </c>
      <c r="K16">
        <v>6.7489999999999997</v>
      </c>
      <c r="L16">
        <v>1.5036</v>
      </c>
      <c r="M16">
        <v>-1.6571</v>
      </c>
      <c r="N16">
        <v>0.46339999999999998</v>
      </c>
      <c r="P16">
        <v>9.01E-2</v>
      </c>
      <c r="R16">
        <v>-6.1999999999999998E-3</v>
      </c>
      <c r="S16">
        <v>-1.2E-2</v>
      </c>
    </row>
    <row r="17" spans="1:19" x14ac:dyDescent="0.25">
      <c r="A17">
        <v>14</v>
      </c>
      <c r="C17">
        <v>10</v>
      </c>
      <c r="D17">
        <v>0.19800000000000001</v>
      </c>
      <c r="E17">
        <v>703860</v>
      </c>
      <c r="F17">
        <v>74.391999999999996</v>
      </c>
      <c r="G17">
        <v>70.236800000000002</v>
      </c>
      <c r="H17">
        <v>11.0663</v>
      </c>
      <c r="I17">
        <v>0.30370000000000003</v>
      </c>
      <c r="J17">
        <v>5.9927999999999999</v>
      </c>
      <c r="K17">
        <v>7.2975000000000003</v>
      </c>
      <c r="L17">
        <v>1.6781999999999999</v>
      </c>
      <c r="M17">
        <v>-1.5364</v>
      </c>
      <c r="N17">
        <v>0.52329999999999999</v>
      </c>
      <c r="P17">
        <v>0.1205</v>
      </c>
      <c r="R17">
        <v>5.7000000000000002E-3</v>
      </c>
      <c r="S17">
        <v>-1.12E-2</v>
      </c>
    </row>
    <row r="18" spans="1:19" x14ac:dyDescent="0.25">
      <c r="A18">
        <v>16</v>
      </c>
      <c r="C18">
        <v>10</v>
      </c>
      <c r="D18">
        <v>0.1981</v>
      </c>
      <c r="E18">
        <v>703810</v>
      </c>
      <c r="F18">
        <v>74.507999999999996</v>
      </c>
      <c r="G18">
        <v>70.349400000000003</v>
      </c>
      <c r="H18">
        <v>11.065099999999999</v>
      </c>
      <c r="I18">
        <v>0.3039</v>
      </c>
      <c r="J18">
        <v>7.3460000000000001</v>
      </c>
      <c r="K18">
        <v>7.8918999999999997</v>
      </c>
      <c r="L18">
        <v>2.2294999999999998</v>
      </c>
      <c r="M18">
        <v>-2.0045000000000002</v>
      </c>
      <c r="N18">
        <v>0.59389999999999998</v>
      </c>
      <c r="P18">
        <v>0.16109999999999999</v>
      </c>
      <c r="R18">
        <v>9.1000000000000004E-3</v>
      </c>
      <c r="S18">
        <v>-1.2E-2</v>
      </c>
    </row>
    <row r="19" spans="1:19" x14ac:dyDescent="0.25">
      <c r="A19">
        <v>18</v>
      </c>
      <c r="C19">
        <v>10</v>
      </c>
      <c r="D19">
        <v>0.19789999999999999</v>
      </c>
      <c r="E19">
        <v>703280</v>
      </c>
      <c r="F19">
        <v>74.47</v>
      </c>
      <c r="G19">
        <v>70.318899999999999</v>
      </c>
      <c r="H19">
        <v>11.0657</v>
      </c>
      <c r="I19">
        <v>0.30330000000000001</v>
      </c>
      <c r="J19">
        <v>8.5864999999999991</v>
      </c>
      <c r="K19">
        <v>8.3934999999999995</v>
      </c>
      <c r="L19">
        <v>2.5861000000000001</v>
      </c>
      <c r="M19">
        <v>-1.9427000000000001</v>
      </c>
      <c r="N19">
        <v>0.65490000000000004</v>
      </c>
      <c r="P19">
        <v>0.20699999999999999</v>
      </c>
      <c r="R19">
        <v>2.5999999999999999E-2</v>
      </c>
      <c r="S19">
        <v>-6.8999999999999999E-3</v>
      </c>
    </row>
    <row r="20" spans="1:19" x14ac:dyDescent="0.25">
      <c r="A20">
        <v>20</v>
      </c>
      <c r="C20">
        <v>10</v>
      </c>
      <c r="D20">
        <v>0.19769999999999999</v>
      </c>
      <c r="E20">
        <v>702240</v>
      </c>
      <c r="F20">
        <v>74.597999999999999</v>
      </c>
      <c r="G20">
        <v>70.4559</v>
      </c>
      <c r="H20">
        <v>11.0664</v>
      </c>
      <c r="I20">
        <v>0.30259999999999998</v>
      </c>
      <c r="J20">
        <v>9.8157999999999994</v>
      </c>
      <c r="K20">
        <v>8.2164000000000001</v>
      </c>
      <c r="L20">
        <v>2.9316</v>
      </c>
      <c r="M20">
        <v>-2.2174</v>
      </c>
      <c r="N20">
        <v>0.68889999999999996</v>
      </c>
      <c r="P20">
        <v>0.24479999999999999</v>
      </c>
      <c r="R20">
        <v>2.9000000000000001E-2</v>
      </c>
      <c r="S20">
        <v>1.1000000000000001E-3</v>
      </c>
    </row>
    <row r="21" spans="1:19" x14ac:dyDescent="0.25">
      <c r="A21">
        <v>16</v>
      </c>
      <c r="C21">
        <v>10</v>
      </c>
      <c r="D21">
        <v>0.19769999999999999</v>
      </c>
      <c r="E21">
        <v>702460</v>
      </c>
      <c r="F21">
        <v>74.593000000000004</v>
      </c>
      <c r="G21">
        <v>70.448300000000003</v>
      </c>
      <c r="H21">
        <v>11.0662</v>
      </c>
      <c r="I21">
        <v>0.30280000000000001</v>
      </c>
      <c r="J21">
        <v>7.3521999999999998</v>
      </c>
      <c r="K21">
        <v>7.6108000000000002</v>
      </c>
      <c r="L21">
        <v>2.2343000000000002</v>
      </c>
      <c r="M21">
        <v>-2.0691000000000002</v>
      </c>
      <c r="N21">
        <v>0.58609999999999995</v>
      </c>
      <c r="P21">
        <v>0.15579999999999999</v>
      </c>
      <c r="R21">
        <v>6.7000000000000002E-3</v>
      </c>
      <c r="S21">
        <v>-1.2E-2</v>
      </c>
    </row>
    <row r="22" spans="1:19" x14ac:dyDescent="0.25">
      <c r="A22">
        <v>12</v>
      </c>
      <c r="C22">
        <v>10</v>
      </c>
      <c r="D22">
        <v>0.19900000000000001</v>
      </c>
      <c r="E22">
        <v>706670</v>
      </c>
      <c r="F22">
        <v>74.706000000000003</v>
      </c>
      <c r="G22">
        <v>70.506100000000004</v>
      </c>
      <c r="H22">
        <v>11.061299999999999</v>
      </c>
      <c r="I22">
        <v>0.30669999999999997</v>
      </c>
      <c r="J22">
        <v>5.0556999999999999</v>
      </c>
      <c r="K22">
        <v>6.391</v>
      </c>
      <c r="L22">
        <v>1.4749000000000001</v>
      </c>
      <c r="M22">
        <v>-1.5605</v>
      </c>
      <c r="N22">
        <v>0.45</v>
      </c>
      <c r="P22">
        <v>8.5699999999999998E-2</v>
      </c>
      <c r="R22">
        <v>-3.3999999999999998E-3</v>
      </c>
      <c r="S22">
        <v>-1.18E-2</v>
      </c>
    </row>
    <row r="23" spans="1:19" x14ac:dyDescent="0.25">
      <c r="A23">
        <v>8</v>
      </c>
      <c r="C23">
        <v>10</v>
      </c>
      <c r="D23">
        <v>0.19850000000000001</v>
      </c>
      <c r="E23">
        <v>705030</v>
      </c>
      <c r="F23">
        <v>74.623999999999995</v>
      </c>
      <c r="G23">
        <v>70.446600000000004</v>
      </c>
      <c r="H23">
        <v>11.062900000000001</v>
      </c>
      <c r="I23">
        <v>0.30509999999999998</v>
      </c>
      <c r="J23">
        <v>3.3041999999999998</v>
      </c>
      <c r="K23">
        <v>4.9271000000000003</v>
      </c>
      <c r="L23">
        <v>0.84160000000000001</v>
      </c>
      <c r="M23">
        <v>-1.1787000000000001</v>
      </c>
      <c r="N23">
        <v>0.3286</v>
      </c>
      <c r="P23">
        <v>4.0599999999999997E-2</v>
      </c>
      <c r="R23">
        <v>-1.3599999999999999E-2</v>
      </c>
      <c r="S23">
        <v>-9.7999999999999997E-3</v>
      </c>
    </row>
    <row r="24" spans="1:19" x14ac:dyDescent="0.25">
      <c r="A24">
        <v>4</v>
      </c>
      <c r="C24">
        <v>10</v>
      </c>
      <c r="D24">
        <v>0.2006</v>
      </c>
      <c r="E24">
        <v>711790</v>
      </c>
      <c r="F24">
        <v>74.900000000000006</v>
      </c>
      <c r="G24">
        <v>70.631799999999998</v>
      </c>
      <c r="H24">
        <v>11.0564</v>
      </c>
      <c r="I24">
        <v>0.3115</v>
      </c>
      <c r="J24">
        <v>1.7423</v>
      </c>
      <c r="K24">
        <v>3.0743</v>
      </c>
      <c r="L24">
        <v>0.63629999999999998</v>
      </c>
      <c r="M24">
        <v>-1.2424999999999999</v>
      </c>
      <c r="N24">
        <v>0.189</v>
      </c>
      <c r="P24">
        <v>1.7399999999999999E-2</v>
      </c>
      <c r="R24">
        <v>-2.3900000000000001E-2</v>
      </c>
      <c r="S24">
        <v>-4.4000000000000003E-3</v>
      </c>
    </row>
    <row r="25" spans="1:19" x14ac:dyDescent="0.25">
      <c r="A25">
        <v>0</v>
      </c>
      <c r="C25">
        <v>10</v>
      </c>
      <c r="D25">
        <v>0.2014</v>
      </c>
      <c r="E25">
        <v>714210</v>
      </c>
      <c r="F25">
        <v>75.043000000000006</v>
      </c>
      <c r="G25">
        <v>70.740700000000004</v>
      </c>
      <c r="H25">
        <v>11.054</v>
      </c>
      <c r="I25">
        <v>0.31380000000000002</v>
      </c>
      <c r="J25">
        <v>0.53280000000000005</v>
      </c>
      <c r="K25">
        <v>0.93920000000000003</v>
      </c>
      <c r="L25">
        <v>0.91300000000000003</v>
      </c>
      <c r="M25">
        <v>-2.3424</v>
      </c>
      <c r="N25">
        <v>5.7599999999999998E-2</v>
      </c>
      <c r="P25">
        <v>1.43E-2</v>
      </c>
      <c r="R25">
        <v>-5.5899999999999998E-2</v>
      </c>
      <c r="S25">
        <v>1E-4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6" baseType="variant">
      <vt:variant>
        <vt:lpstr>Worksheets</vt:lpstr>
      </vt:variant>
      <vt:variant>
        <vt:i4>6</vt:i4>
      </vt:variant>
      <vt:variant>
        <vt:lpstr>Charts</vt:lpstr>
      </vt:variant>
      <vt:variant>
        <vt:i4>10</vt:i4>
      </vt:variant>
      <vt:variant>
        <vt:lpstr>Named Ranges</vt:lpstr>
      </vt:variant>
      <vt:variant>
        <vt:i4>2</vt:i4>
      </vt:variant>
    </vt:vector>
  </HeadingPairs>
  <TitlesOfParts>
    <vt:vector size="18" baseType="lpstr">
      <vt:lpstr>Data Entry</vt:lpstr>
      <vt:lpstr>Configuration Log</vt:lpstr>
      <vt:lpstr>Options</vt:lpstr>
      <vt:lpstr>Run ID 1</vt:lpstr>
      <vt:lpstr>Beta Data</vt:lpstr>
      <vt:lpstr>Run ID 2</vt:lpstr>
      <vt:lpstr>CL vs Alpha</vt:lpstr>
      <vt:lpstr>CD vs Alpha</vt:lpstr>
      <vt:lpstr>CD vs CL</vt:lpstr>
      <vt:lpstr>Cm vs CL</vt:lpstr>
      <vt:lpstr>Cma vs Alpha</vt:lpstr>
      <vt:lpstr>Cm vs Alpha</vt:lpstr>
      <vt:lpstr>Static Margin vs Alpha</vt:lpstr>
      <vt:lpstr>CYb vs Alpha</vt:lpstr>
      <vt:lpstr>Cnb vs Alpha</vt:lpstr>
      <vt:lpstr>Clb vs Alpha</vt:lpstr>
      <vt:lpstr>'Data Entry'!Print_Area</vt:lpstr>
      <vt:lpstr>Options!Print_Area</vt:lpstr>
    </vt:vector>
  </TitlesOfParts>
  <Company>ARI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Compaq</dc:creator>
  <cp:lastModifiedBy>Brandt, Steven A CIV USAF USAFA DF/DFAN</cp:lastModifiedBy>
  <cp:lastPrinted>2011-10-11T19:44:35Z</cp:lastPrinted>
  <dcterms:created xsi:type="dcterms:W3CDTF">2002-01-17T15:19:48Z</dcterms:created>
  <dcterms:modified xsi:type="dcterms:W3CDTF">2026-05-15T18:00:36Z</dcterms:modified>
</cp:coreProperties>
</file>